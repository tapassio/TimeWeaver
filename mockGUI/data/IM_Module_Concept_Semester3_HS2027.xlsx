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" sheetId="1" state="visible" r:id="rId3"/>
    <sheet name="SUS" sheetId="2" state="visible" r:id="rId4"/>
    <sheet name="SCA" sheetId="3" state="visible" r:id="rId5"/>
    <sheet name="CAPI" sheetId="4" state="visible" r:id="rId6"/>
    <sheet name="Module Coordination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<sst xmlns="http://schemas.openxmlformats.org/spreadsheetml/2006/main" count="337" uniqueCount="144">
  <si>
    <t xml:space="preserve">Detailed Module Concept - MSc Digital Business Administration</t>
  </si>
  <si>
    <t xml:space="preserve">INC - Innovation Culture &amp; Change  (3 ECTS)</t>
  </si>
  <si>
    <t xml:space="preserve">The detailed module concept serves as a comprehensive blueprint for structuring a module over the course of a semester. It defines the key learning goals, ensuring clear educational outcomes for students. It outlines the main content areas, providing a structured framework for effective knowledge delivery. Additionally, it specifies the responsibilities of lecturers, assigning which lecturer is responsible for delivering content in each learning cycle or on-campus session. The concept also includes the assignment structure, detailing assessments and learning activities for each phase of the module. This ensures consistency and alignment with course objectives.</t>
  </si>
  <si>
    <t xml:space="preserve">Explanation:</t>
  </si>
  <si>
    <t xml:space="preserve">Please describe the key learning goals in each LC and On-Campus session</t>
  </si>
  <si>
    <t xml:space="preserve">Please write a short summary of the main content in each LC and On-Campus session in bullet points</t>
  </si>
  <si>
    <t xml:space="preserve">Which didactic methods and teaching tools are used in each LC and On-Campus session?</t>
  </si>
  <si>
    <t xml:space="preserve">Please describe the assignment (if applicable) in bullet points</t>
  </si>
  <si>
    <t xml:space="preserve">Please choose assignment type from the drop-down menu</t>
  </si>
  <si>
    <t xml:space="preserve">Please select the grading percentage from the drop-down menu</t>
  </si>
  <si>
    <t xml:space="preserve">Please specify the lecturer responsible for each LC and On-Campus session</t>
  </si>
  <si>
    <t xml:space="preserve">Structural Elements</t>
  </si>
  <si>
    <t xml:space="preserve">Dates</t>
  </si>
  <si>
    <t xml:space="preserve">Learning Goals</t>
  </si>
  <si>
    <t xml:space="preserve">Main Content (bullet points)</t>
  </si>
  <si>
    <t xml:space="preserve">Didactics &amp; Tools</t>
  </si>
  <si>
    <t xml:space="preserve">Description Assignment (bullet points)</t>
  </si>
  <si>
    <t xml:space="preserve">Assignment Type (drop down)</t>
  </si>
  <si>
    <t xml:space="preserve">Grading Percentage (drop down)</t>
  </si>
  <si>
    <t xml:space="preserve">Lecturer</t>
  </si>
  <si>
    <t xml:space="preserve">Comments</t>
  </si>
  <si>
    <t xml:space="preserve">CW 40
On-Campus 1</t>
  </si>
  <si>
    <t xml:space="preserve">07.10.-09.10.</t>
  </si>
  <si>
    <t xml:space="preserve">- Studierende kennen Grundmodelle situativer Führung in Innovationsteams</t>
  </si>
  <si>
    <t xml:space="preserve">- Führungsstile im Überblick</t>
  </si>
  <si>
    <t xml:space="preserve">- Vorlesung</t>
  </si>
  <si>
    <t xml:space="preserve">Prof. Dubois</t>
  </si>
  <si>
    <t xml:space="preserve">CW 39-40
Learning Cycle 1</t>
  </si>
  <si>
    <t xml:space="preserve">27.09.-10.10.</t>
  </si>
  <si>
    <t xml:space="preserve">- Kennenlernen
- Erwartungsmanagement</t>
  </si>
  <si>
    <t xml:space="preserve">- Gruppenübung</t>
  </si>
  <si>
    <t xml:space="preserve">CW 41-42
Learning Cycle 2</t>
  </si>
  <si>
    <t xml:space="preserve">11.10.-24.10.</t>
  </si>
  <si>
    <t xml:space="preserve">- Studierende kennen Grundlagen psychologischer Sicherheit</t>
  </si>
  <si>
    <t xml:space="preserve">- Psychologische Sicherheit nach Edmondson</t>
  </si>
  <si>
    <t xml:space="preserve">- Lesetext
- Diskussion</t>
  </si>
  <si>
    <t xml:space="preserve">CW 43
On-Campus 2</t>
  </si>
  <si>
    <t xml:space="preserve">28.10.-30.10.</t>
  </si>
  <si>
    <t xml:space="preserve">CW 44-45
Learning Cycle 3</t>
  </si>
  <si>
    <t xml:space="preserve">01.11.-14.11.</t>
  </si>
  <si>
    <t xml:space="preserve">- Studierende können Feedbackgespräche strukturiert führen</t>
  </si>
  <si>
    <t xml:space="preserve">- Feedbackmodelle
- Rollenspiele</t>
  </si>
  <si>
    <t xml:space="preserve">- Rollenspiel in Kleingruppen</t>
  </si>
  <si>
    <t xml:space="preserve">CW 46-47
Learning Cycle 4</t>
  </si>
  <si>
    <t xml:space="preserve">15.11.-28.11.</t>
  </si>
  <si>
    <t xml:space="preserve">CW 48
On-Campus 3</t>
  </si>
  <si>
    <t xml:space="preserve">02.12.-04.12.</t>
  </si>
  <si>
    <t xml:space="preserve">- Studierende kennen Merkmale innovationsfördernder Unternehmenskultur</t>
  </si>
  <si>
    <t xml:space="preserve">- Fehlerkultur
- Experimentierfreude</t>
  </si>
  <si>
    <t xml:space="preserve">- Gruppenarbeit</t>
  </si>
  <si>
    <t xml:space="preserve">CW 49-50
Learning Cycle 5</t>
  </si>
  <si>
    <t xml:space="preserve">06.12.-19.12.</t>
  </si>
  <si>
    <t xml:space="preserve">CW 50-51
Learning Cycle 6</t>
  </si>
  <si>
    <t xml:space="preserve">13.12.-26.12.</t>
  </si>
  <si>
    <t xml:space="preserve">- Studierende können ein Kulturwandel-Konzept ausarbeiten</t>
  </si>
  <si>
    <t xml:space="preserve">- Finalisierung Kulturwandel-Konzept</t>
  </si>
  <si>
    <t xml:space="preserve">- Selbststudium</t>
  </si>
  <si>
    <t xml:space="preserve">- Kulturwandel-Konzeptpapier (max. 4 Seiten)</t>
  </si>
  <si>
    <t xml:space="preserve">Graded</t>
  </si>
  <si>
    <t xml:space="preserve">CW 51
On-Campus 4</t>
  </si>
  <si>
    <t xml:space="preserve">23.12.-25.12.</t>
  </si>
  <si>
    <t xml:space="preserve">- Abschlussdiskussion in Kleingruppen</t>
  </si>
  <si>
    <t xml:space="preserve">- Gruppendiskussion</t>
  </si>
  <si>
    <t xml:space="preserve">Additional Written Exams, Group Presentations, Reports</t>
  </si>
  <si>
    <t xml:space="preserve">After last On-Campus</t>
  </si>
  <si>
    <t xml:space="preserve">SUS - Sustainable Innovation &amp; Ethics  (3 ECTS)</t>
  </si>
  <si>
    <t xml:space="preserve">- Studierende kennen zentrale ethische Fragestellungen bei Innovationsprojekten</t>
  </si>
  <si>
    <t xml:space="preserve">- Bias, Fairness, Transparenz, Verantwortlichkeit</t>
  </si>
  <si>
    <t xml:space="preserve">Prof. Chapuis</t>
  </si>
  <si>
    <t xml:space="preserve">- Diskussion eines aktuellen Ethik-Falls</t>
  </si>
  <si>
    <t xml:space="preserve">- Plenumsdiskussion</t>
  </si>
  <si>
    <t xml:space="preserve">- Studierende können Compliance-Risiken einer Innovation einschätzen</t>
  </si>
  <si>
    <t xml:space="preserve">- Compliance-Checkliste anwenden</t>
  </si>
  <si>
    <t xml:space="preserve">- Fallstudie</t>
  </si>
  <si>
    <t xml:space="preserve">- Compliance-Kurzcheck für ein Fallbeispiel</t>
  </si>
  <si>
    <t xml:space="preserve">Pass/Fail</t>
  </si>
  <si>
    <t xml:space="preserve">- Studierende kennen regulatorische Rahmenwerke (u. a. EU AI Act)</t>
  </si>
  <si>
    <t xml:space="preserve">- EU AI Act im Überblick
- Risikoklassen</t>
  </si>
  <si>
    <t xml:space="preserve">- Lesetext</t>
  </si>
  <si>
    <t xml:space="preserve">- Studierende können ein Nachhaltigkeits-Assessment durchführen</t>
  </si>
  <si>
    <t xml:space="preserve">- Anwendung Assessment-Raster auf ein Fallbeispiel</t>
  </si>
  <si>
    <t xml:space="preserve">- Studierende können ein Nachhaltigkeits-Assessment vollständig dokumentieren</t>
  </si>
  <si>
    <t xml:space="preserve">- Finalisierung Assessment-Bericht</t>
  </si>
  <si>
    <t xml:space="preserve">- Assessment-Bericht (max. 5 Seiten)</t>
  </si>
  <si>
    <t xml:space="preserve">- Abschlussdiskussion und Ausblick</t>
  </si>
  <si>
    <t xml:space="preserve">SCA - Scaling Innovations  (6 ECTS)</t>
  </si>
  <si>
    <t xml:space="preserve">- Studierende kennen Herausforderungen beim Skalieren von Innovationen</t>
  </si>
  <si>
    <t xml:space="preserve">- Skalierungsbarrieren
- Organisationsdesign für Wachstum</t>
  </si>
  <si>
    <t xml:space="preserve">Prof. Aeschbacher</t>
  </si>
  <si>
    <t xml:space="preserve">- Fallbeispiel gescheiterte Skalierung</t>
  </si>
  <si>
    <t xml:space="preserve">- Diskussion</t>
  </si>
  <si>
    <t xml:space="preserve">- Studierende können einen Skalierungsplan grob konzipieren</t>
  </si>
  <si>
    <t xml:space="preserve">- Skalierungsstrategien im Überblick</t>
  </si>
  <si>
    <t xml:space="preserve">- Skalierungsplan-Skizze</t>
  </si>
  <si>
    <t xml:space="preserve">- Zwischenpräsentationen</t>
  </si>
  <si>
    <t xml:space="preserve">- Kurzpräsentationen</t>
  </si>
  <si>
    <t xml:space="preserve">- Studierende kennen Finanzierungsformen für Skalierung</t>
  </si>
  <si>
    <t xml:space="preserve">- Wachstumsfinanzierung
- Serie-A/B-Finanzierungsrunden</t>
  </si>
  <si>
    <t xml:space="preserve">- Studierende können operative Skalierungshürden analysieren</t>
  </si>
  <si>
    <t xml:space="preserve">- Prozess- und Systemskalierung</t>
  </si>
  <si>
    <t xml:space="preserve">- Studierende können internationale Skalierungsoptionen bewerten</t>
  </si>
  <si>
    <t xml:space="preserve">- Internationalisierung als Skalierungshebel</t>
  </si>
  <si>
    <t xml:space="preserve">- Studierende können ihren Skalierungsplan konsolidieren</t>
  </si>
  <si>
    <t xml:space="preserve">- Finalisierung Skalierungsplan</t>
  </si>
  <si>
    <t xml:space="preserve">- Skalierungsplan (max. 10 Seiten)</t>
  </si>
  <si>
    <t xml:space="preserve">- Studierende können ihren Skalierungsplan präsentieren</t>
  </si>
  <si>
    <t xml:space="preserve">- Abschlusspräsentationen</t>
  </si>
  <si>
    <t xml:space="preserve">- Gruppenpräsentationen
- Jury-Feedback</t>
  </si>
  <si>
    <t xml:space="preserve">- Abschlusspräsentation (12 Min.)</t>
  </si>
  <si>
    <t xml:space="preserve">CAPI - Capstone Innovation Project  (6 ECTS)</t>
  </si>
  <si>
    <t xml:space="preserve">- Studierende verstehen die Aufgabenstellung des Praxispartners</t>
  </si>
  <si>
    <t xml:space="preserve">- Kick-off mit Praxispartner</t>
  </si>
  <si>
    <t xml:space="preserve">- Briefing
- Q&amp;A</t>
  </si>
  <si>
    <t xml:space="preserve">Prof. Egger</t>
  </si>
  <si>
    <t xml:space="preserve">- Teambildung für Praxisprojekte</t>
  </si>
  <si>
    <t xml:space="preserve">- Workshop</t>
  </si>
  <si>
    <t xml:space="preserve">- Studierende können die Problemstellung strukturiert eingrenzen</t>
  </si>
  <si>
    <t xml:space="preserve">- Problem-Framing</t>
  </si>
  <si>
    <t xml:space="preserve">- Coaching</t>
  </si>
  <si>
    <t xml:space="preserve">- Problem-Statement (1 Seite)</t>
  </si>
  <si>
    <t xml:space="preserve">- Studierende können erste Lösungsansätze mit dem Praxispartner validieren</t>
  </si>
  <si>
    <t xml:space="preserve">- Zwischenfeedback mit Praxispartner</t>
  </si>
  <si>
    <t xml:space="preserve">- Feedback-Session</t>
  </si>
  <si>
    <t xml:space="preserve">- Studierende können ihre Lösung weiterentwickeln</t>
  </si>
  <si>
    <t xml:space="preserve">- Vertiefung Lösungsansatz</t>
  </si>
  <si>
    <t xml:space="preserve">- Projektarbeit
- Coaching</t>
  </si>
  <si>
    <t xml:space="preserve">- Studierende können eine umsetzbare Lösung ausarbeiten</t>
  </si>
  <si>
    <t xml:space="preserve">- Finalisierung Lösungskonzept</t>
  </si>
  <si>
    <t xml:space="preserve">- Projektarbeit</t>
  </si>
  <si>
    <t xml:space="preserve">- Lösungskonzept-Bericht (max. 10 Seiten)</t>
  </si>
  <si>
    <t xml:space="preserve">- Studierende können ihre Lösung vor dem Praxispartner vertreten</t>
  </si>
  <si>
    <t xml:space="preserve">- Abschlusspräsentation beim Praxispartner</t>
  </si>
  <si>
    <t xml:space="preserve">- Präsentation
- Jury-Feedback</t>
  </si>
  <si>
    <t xml:space="preserve">- Abschlusspräsentation (15 Min.)</t>
  </si>
  <si>
    <t xml:space="preserve">Module Coordination</t>
  </si>
  <si>
    <t xml:space="preserve">Overview of Main Content per Learning Cycle across all modules of the semester - used to spot unintended overlaps and coordinate workload.</t>
  </si>
  <si>
    <t xml:space="preserve">INC - Innovation Culture &amp; Change</t>
  </si>
  <si>
    <t xml:space="preserve">SUS - Sustainable Innovation &amp; Ethics</t>
  </si>
  <si>
    <t xml:space="preserve">SCA - Scaling Innovations</t>
  </si>
  <si>
    <t xml:space="preserve">CAPI - Capstone Innovation Project</t>
  </si>
  <si>
    <t xml:space="preserve">Total ECTS this semester</t>
  </si>
  <si>
    <t xml:space="preserve">Assignment Percentage</t>
  </si>
  <si>
    <t xml:space="preserve">Assignment Type</t>
  </si>
  <si>
    <t xml:space="preserve">Non-graded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</si>
</sst>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/>
      <c r="H13" s="6"/>
      <c r="I13" s="6" t="s">
        <v>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29</v>
      </c>
      <c r="E14" s="6" t="s">
        <v>30</v>
      </c>
      <c r="F14" s="6"/>
      <c r="G14" s="6"/>
      <c r="H14" s="6"/>
      <c r="I14" s="6" t="s">
        <v>26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33</v>
      </c>
      <c r="D15" s="6" t="s">
        <v>34</v>
      </c>
      <c r="E15" s="6" t="s">
        <v>35</v>
      </c>
      <c r="F15" s="6"/>
      <c r="G15" s="6"/>
      <c r="H15" s="6"/>
      <c r="I15" s="6" t="s">
        <v>26</v>
      </c>
      <c r="J15" s="6"/>
    </row>
    <row r="16" customFormat="false" ht="69.75" hidden="false" customHeight="true" outlineLevel="0" collapsed="false">
      <c r="A16" s="6" t="s">
        <v>36</v>
      </c>
      <c r="B16" s="6" t="s">
        <v>37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/>
      <c r="G17" s="6"/>
      <c r="H17" s="6"/>
      <c r="I17" s="6" t="s">
        <v>26</v>
      </c>
      <c r="J17" s="6"/>
    </row>
    <row r="18" customFormat="false" ht="69.75" hidden="false" customHeight="true" outlineLevel="0" collapsed="false">
      <c r="A18" s="6" t="s">
        <v>43</v>
      </c>
      <c r="B18" s="6" t="s">
        <v>44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45</v>
      </c>
      <c r="B19" s="6" t="s">
        <v>46</v>
      </c>
      <c r="C19" s="6" t="s">
        <v>47</v>
      </c>
      <c r="D19" s="6" t="s">
        <v>48</v>
      </c>
      <c r="E19" s="6" t="s">
        <v>49</v>
      </c>
      <c r="F19" s="6"/>
      <c r="G19" s="6"/>
      <c r="H19" s="6"/>
      <c r="I19" s="6" t="s">
        <v>26</v>
      </c>
      <c r="J19" s="6"/>
    </row>
    <row r="20" customFormat="false" ht="69.75" hidden="false" customHeight="true" outlineLevel="0" collapsed="false">
      <c r="A20" s="6" t="s">
        <v>50</v>
      </c>
      <c r="B20" s="6" t="s">
        <v>51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52</v>
      </c>
      <c r="B21" s="6" t="s">
        <v>53</v>
      </c>
      <c r="C21" s="6" t="s">
        <v>54</v>
      </c>
      <c r="D21" s="6" t="s">
        <v>55</v>
      </c>
      <c r="E21" s="6" t="s">
        <v>56</v>
      </c>
      <c r="F21" s="6" t="s">
        <v>57</v>
      </c>
      <c r="G21" s="6" t="s">
        <v>58</v>
      </c>
      <c r="H21" s="6" t="n">
        <v>1</v>
      </c>
      <c r="I21" s="6" t="s">
        <v>26</v>
      </c>
      <c r="J21" s="6"/>
    </row>
    <row r="22" customFormat="false" ht="69.75" hidden="false" customHeight="true" outlineLevel="0" collapsed="false">
      <c r="A22" s="6" t="s">
        <v>59</v>
      </c>
      <c r="B22" s="6" t="s">
        <v>60</v>
      </c>
      <c r="C22" s="6"/>
      <c r="D22" s="6" t="s">
        <v>61</v>
      </c>
      <c r="E22" s="6" t="s">
        <v>62</v>
      </c>
      <c r="F22" s="6"/>
      <c r="G22" s="6"/>
      <c r="H22" s="6"/>
      <c r="I22" s="6" t="s">
        <v>26</v>
      </c>
      <c r="J22" s="6"/>
    </row>
    <row r="24" customFormat="false" ht="15" hidden="false" customHeight="false" outlineLevel="0" collapsed="false">
      <c r="A24" s="7" t="s">
        <v>63</v>
      </c>
      <c r="B24" s="8" t="s">
        <v>64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65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66</v>
      </c>
      <c r="D13" s="6" t="s">
        <v>67</v>
      </c>
      <c r="E13" s="6" t="s">
        <v>25</v>
      </c>
      <c r="F13" s="6"/>
      <c r="G13" s="6"/>
      <c r="H13" s="6"/>
      <c r="I13" s="6" t="s">
        <v>68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69</v>
      </c>
      <c r="E14" s="6" t="s">
        <v>70</v>
      </c>
      <c r="F14" s="6"/>
      <c r="G14" s="6"/>
      <c r="H14" s="6"/>
      <c r="I14" s="6" t="s">
        <v>68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71</v>
      </c>
      <c r="D15" s="6" t="s">
        <v>72</v>
      </c>
      <c r="E15" s="6" t="s">
        <v>73</v>
      </c>
      <c r="F15" s="6" t="s">
        <v>74</v>
      </c>
      <c r="G15" s="6" t="s">
        <v>75</v>
      </c>
      <c r="H15" s="6" t="n">
        <v>0</v>
      </c>
      <c r="I15" s="6" t="s">
        <v>68</v>
      </c>
      <c r="J15" s="6"/>
    </row>
    <row r="16" customFormat="false" ht="69.75" hidden="false" customHeight="true" outlineLevel="0" collapsed="false">
      <c r="A16" s="6" t="s">
        <v>36</v>
      </c>
      <c r="B16" s="6" t="s">
        <v>37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38</v>
      </c>
      <c r="B17" s="6" t="s">
        <v>39</v>
      </c>
      <c r="C17" s="6" t="s">
        <v>76</v>
      </c>
      <c r="D17" s="6" t="s">
        <v>77</v>
      </c>
      <c r="E17" s="6" t="s">
        <v>78</v>
      </c>
      <c r="F17" s="6"/>
      <c r="G17" s="6"/>
      <c r="H17" s="6"/>
      <c r="I17" s="6" t="s">
        <v>68</v>
      </c>
      <c r="J17" s="6"/>
    </row>
    <row r="18" customFormat="false" ht="69.75" hidden="false" customHeight="true" outlineLevel="0" collapsed="false">
      <c r="A18" s="6" t="s">
        <v>43</v>
      </c>
      <c r="B18" s="6" t="s">
        <v>44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45</v>
      </c>
      <c r="B19" s="6" t="s">
        <v>46</v>
      </c>
      <c r="C19" s="6" t="s">
        <v>79</v>
      </c>
      <c r="D19" s="6" t="s">
        <v>80</v>
      </c>
      <c r="E19" s="6" t="s">
        <v>49</v>
      </c>
      <c r="F19" s="6"/>
      <c r="G19" s="6"/>
      <c r="H19" s="6"/>
      <c r="I19" s="6" t="s">
        <v>68</v>
      </c>
      <c r="J19" s="6"/>
    </row>
    <row r="20" customFormat="false" ht="69.75" hidden="false" customHeight="true" outlineLevel="0" collapsed="false">
      <c r="A20" s="6" t="s">
        <v>50</v>
      </c>
      <c r="B20" s="6" t="s">
        <v>51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52</v>
      </c>
      <c r="B21" s="6" t="s">
        <v>53</v>
      </c>
      <c r="C21" s="6" t="s">
        <v>81</v>
      </c>
      <c r="D21" s="6" t="s">
        <v>82</v>
      </c>
      <c r="E21" s="6" t="s">
        <v>56</v>
      </c>
      <c r="F21" s="6" t="s">
        <v>83</v>
      </c>
      <c r="G21" s="6" t="s">
        <v>58</v>
      </c>
      <c r="H21" s="6" t="n">
        <v>1</v>
      </c>
      <c r="I21" s="6" t="s">
        <v>68</v>
      </c>
      <c r="J21" s="6"/>
    </row>
    <row r="22" customFormat="false" ht="69.75" hidden="false" customHeight="true" outlineLevel="0" collapsed="false">
      <c r="A22" s="6" t="s">
        <v>59</v>
      </c>
      <c r="B22" s="6" t="s">
        <v>60</v>
      </c>
      <c r="C22" s="6"/>
      <c r="D22" s="6" t="s">
        <v>84</v>
      </c>
      <c r="E22" s="6" t="s">
        <v>70</v>
      </c>
      <c r="F22" s="6"/>
      <c r="G22" s="6"/>
      <c r="H22" s="6"/>
      <c r="I22" s="6" t="s">
        <v>68</v>
      </c>
      <c r="J22" s="6"/>
    </row>
    <row r="24" customFormat="false" ht="15" hidden="false" customHeight="false" outlineLevel="0" collapsed="false">
      <c r="A24" s="7" t="s">
        <v>63</v>
      </c>
      <c r="B24" s="8" t="s">
        <v>64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85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86</v>
      </c>
      <c r="D13" s="6" t="s">
        <v>87</v>
      </c>
      <c r="E13" s="6" t="s">
        <v>25</v>
      </c>
      <c r="F13" s="6"/>
      <c r="G13" s="6"/>
      <c r="H13" s="6"/>
      <c r="I13" s="6" t="s">
        <v>88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89</v>
      </c>
      <c r="E14" s="6" t="s">
        <v>90</v>
      </c>
      <c r="F14" s="6"/>
      <c r="G14" s="6"/>
      <c r="H14" s="6"/>
      <c r="I14" s="6" t="s">
        <v>88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91</v>
      </c>
      <c r="D15" s="6" t="s">
        <v>92</v>
      </c>
      <c r="E15" s="6" t="s">
        <v>49</v>
      </c>
      <c r="F15" s="6" t="s">
        <v>93</v>
      </c>
      <c r="G15" s="6" t="s">
        <v>75</v>
      </c>
      <c r="H15" s="6" t="n">
        <v>0</v>
      </c>
      <c r="I15" s="6" t="s">
        <v>88</v>
      </c>
      <c r="J15" s="6"/>
    </row>
    <row r="16" customFormat="false" ht="69.75" hidden="false" customHeight="true" outlineLevel="0" collapsed="false">
      <c r="A16" s="6" t="s">
        <v>36</v>
      </c>
      <c r="B16" s="6" t="s">
        <v>37</v>
      </c>
      <c r="C16" s="6"/>
      <c r="D16" s="6" t="s">
        <v>94</v>
      </c>
      <c r="E16" s="6" t="s">
        <v>95</v>
      </c>
      <c r="F16" s="6"/>
      <c r="G16" s="6"/>
      <c r="H16" s="6"/>
      <c r="I16" s="6" t="s">
        <v>88</v>
      </c>
      <c r="J16" s="6"/>
    </row>
    <row r="17" customFormat="false" ht="69.75" hidden="false" customHeight="true" outlineLevel="0" collapsed="false">
      <c r="A17" s="6" t="s">
        <v>38</v>
      </c>
      <c r="B17" s="6" t="s">
        <v>39</v>
      </c>
      <c r="C17" s="6" t="s">
        <v>96</v>
      </c>
      <c r="D17" s="6" t="s">
        <v>97</v>
      </c>
      <c r="E17" s="6" t="s">
        <v>78</v>
      </c>
      <c r="F17" s="6"/>
      <c r="G17" s="6"/>
      <c r="H17" s="6"/>
      <c r="I17" s="6" t="s">
        <v>88</v>
      </c>
      <c r="J17" s="6"/>
    </row>
    <row r="18" customFormat="false" ht="69.75" hidden="false" customHeight="true" outlineLevel="0" collapsed="false">
      <c r="A18" s="6" t="s">
        <v>43</v>
      </c>
      <c r="B18" s="6" t="s">
        <v>44</v>
      </c>
      <c r="C18" s="6" t="s">
        <v>98</v>
      </c>
      <c r="D18" s="6" t="s">
        <v>99</v>
      </c>
      <c r="E18" s="6" t="s">
        <v>73</v>
      </c>
      <c r="F18" s="6"/>
      <c r="G18" s="6"/>
      <c r="H18" s="6"/>
      <c r="I18" s="6" t="s">
        <v>88</v>
      </c>
      <c r="J18" s="6"/>
    </row>
    <row r="19" customFormat="false" ht="69.75" hidden="false" customHeight="true" outlineLevel="0" collapsed="false">
      <c r="A19" s="6" t="s">
        <v>45</v>
      </c>
      <c r="B19" s="6" t="s">
        <v>46</v>
      </c>
      <c r="C19" s="6" t="s">
        <v>100</v>
      </c>
      <c r="D19" s="6" t="s">
        <v>101</v>
      </c>
      <c r="E19" s="6" t="s">
        <v>49</v>
      </c>
      <c r="F19" s="6"/>
      <c r="G19" s="6"/>
      <c r="H19" s="6"/>
      <c r="I19" s="6" t="s">
        <v>88</v>
      </c>
      <c r="J19" s="6"/>
    </row>
    <row r="20" customFormat="false" ht="69.75" hidden="false" customHeight="true" outlineLevel="0" collapsed="false">
      <c r="A20" s="6" t="s">
        <v>50</v>
      </c>
      <c r="B20" s="6" t="s">
        <v>51</v>
      </c>
      <c r="C20" s="6" t="s">
        <v>102</v>
      </c>
      <c r="D20" s="6" t="s">
        <v>103</v>
      </c>
      <c r="E20" s="6" t="s">
        <v>56</v>
      </c>
      <c r="F20" s="6" t="s">
        <v>104</v>
      </c>
      <c r="G20" s="6" t="s">
        <v>58</v>
      </c>
      <c r="H20" s="6" t="n">
        <v>0.3</v>
      </c>
      <c r="I20" s="6" t="s">
        <v>88</v>
      </c>
      <c r="J20" s="6"/>
    </row>
    <row r="21" customFormat="false" ht="69.75" hidden="false" customHeight="true" outlineLevel="0" collapsed="false">
      <c r="A21" s="6" t="s">
        <v>52</v>
      </c>
      <c r="B21" s="6" t="s">
        <v>53</v>
      </c>
      <c r="C21" s="6" t="s">
        <v>105</v>
      </c>
      <c r="D21" s="6" t="s">
        <v>106</v>
      </c>
      <c r="E21" s="6" t="s">
        <v>107</v>
      </c>
      <c r="F21" s="6" t="s">
        <v>108</v>
      </c>
      <c r="G21" s="6" t="s">
        <v>58</v>
      </c>
      <c r="H21" s="6" t="n">
        <v>0.7</v>
      </c>
      <c r="I21" s="6" t="s">
        <v>88</v>
      </c>
      <c r="J21" s="6"/>
    </row>
    <row r="22" customFormat="false" ht="69.75" hidden="false" customHeight="true" outlineLevel="0" collapsed="false">
      <c r="A22" s="6" t="s">
        <v>59</v>
      </c>
      <c r="B22" s="6" t="s">
        <v>60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63</v>
      </c>
      <c r="B24" s="8" t="s">
        <v>64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109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110</v>
      </c>
      <c r="D13" s="6" t="s">
        <v>111</v>
      </c>
      <c r="E13" s="6" t="s">
        <v>112</v>
      </c>
      <c r="F13" s="6"/>
      <c r="G13" s="6"/>
      <c r="H13" s="6"/>
      <c r="I13" s="6" t="s">
        <v>113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114</v>
      </c>
      <c r="E14" s="6" t="s">
        <v>115</v>
      </c>
      <c r="F14" s="6"/>
      <c r="G14" s="6"/>
      <c r="H14" s="6"/>
      <c r="I14" s="6" t="s">
        <v>113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116</v>
      </c>
      <c r="D15" s="6" t="s">
        <v>117</v>
      </c>
      <c r="E15" s="6" t="s">
        <v>118</v>
      </c>
      <c r="F15" s="6" t="s">
        <v>119</v>
      </c>
      <c r="G15" s="6" t="s">
        <v>75</v>
      </c>
      <c r="H15" s="6" t="n">
        <v>0</v>
      </c>
      <c r="I15" s="6" t="s">
        <v>113</v>
      </c>
      <c r="J15" s="6"/>
    </row>
    <row r="16" customFormat="false" ht="69.75" hidden="false" customHeight="true" outlineLevel="0" collapsed="false">
      <c r="A16" s="6" t="s">
        <v>36</v>
      </c>
      <c r="B16" s="6" t="s">
        <v>37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38</v>
      </c>
      <c r="B17" s="6" t="s">
        <v>39</v>
      </c>
      <c r="C17" s="6" t="s">
        <v>120</v>
      </c>
      <c r="D17" s="6" t="s">
        <v>121</v>
      </c>
      <c r="E17" s="6" t="s">
        <v>122</v>
      </c>
      <c r="F17" s="6"/>
      <c r="G17" s="6"/>
      <c r="H17" s="6"/>
      <c r="I17" s="6" t="s">
        <v>113</v>
      </c>
      <c r="J17" s="6"/>
    </row>
    <row r="18" customFormat="false" ht="69.75" hidden="false" customHeight="true" outlineLevel="0" collapsed="false">
      <c r="A18" s="6" t="s">
        <v>43</v>
      </c>
      <c r="B18" s="6" t="s">
        <v>44</v>
      </c>
      <c r="C18" s="6" t="s">
        <v>123</v>
      </c>
      <c r="D18" s="6" t="s">
        <v>124</v>
      </c>
      <c r="E18" s="6" t="s">
        <v>125</v>
      </c>
      <c r="F18" s="6"/>
      <c r="G18" s="6"/>
      <c r="H18" s="6"/>
      <c r="I18" s="6" t="s">
        <v>113</v>
      </c>
      <c r="J18" s="6"/>
    </row>
    <row r="19" customFormat="false" ht="69.75" hidden="false" customHeight="true" outlineLevel="0" collapsed="false">
      <c r="A19" s="6" t="s">
        <v>45</v>
      </c>
      <c r="B19" s="6" t="s">
        <v>46</v>
      </c>
      <c r="C19" s="6"/>
      <c r="D19" s="6"/>
      <c r="E19" s="6"/>
      <c r="F19" s="6"/>
      <c r="G19" s="6"/>
      <c r="H19" s="6"/>
      <c r="I19" s="6"/>
      <c r="J19" s="6"/>
    </row>
    <row r="20" customFormat="false" ht="69.75" hidden="false" customHeight="true" outlineLevel="0" collapsed="false">
      <c r="A20" s="6" t="s">
        <v>50</v>
      </c>
      <c r="B20" s="6" t="s">
        <v>51</v>
      </c>
      <c r="C20" s="6" t="s">
        <v>126</v>
      </c>
      <c r="D20" s="6" t="s">
        <v>127</v>
      </c>
      <c r="E20" s="6" t="s">
        <v>128</v>
      </c>
      <c r="F20" s="6" t="s">
        <v>129</v>
      </c>
      <c r="G20" s="6" t="s">
        <v>58</v>
      </c>
      <c r="H20" s="6" t="n">
        <v>0.4</v>
      </c>
      <c r="I20" s="6" t="s">
        <v>113</v>
      </c>
      <c r="J20" s="6"/>
    </row>
    <row r="21" customFormat="false" ht="69.75" hidden="false" customHeight="true" outlineLevel="0" collapsed="false">
      <c r="A21" s="6" t="s">
        <v>52</v>
      </c>
      <c r="B21" s="6" t="s">
        <v>53</v>
      </c>
      <c r="C21" s="6" t="s">
        <v>130</v>
      </c>
      <c r="D21" s="6" t="s">
        <v>131</v>
      </c>
      <c r="E21" s="6" t="s">
        <v>132</v>
      </c>
      <c r="F21" s="6" t="s">
        <v>133</v>
      </c>
      <c r="G21" s="6" t="s">
        <v>58</v>
      </c>
      <c r="H21" s="6" t="n">
        <v>0.6</v>
      </c>
      <c r="I21" s="6" t="s">
        <v>113</v>
      </c>
      <c r="J21" s="6"/>
    </row>
    <row r="22" customFormat="false" ht="69.75" hidden="false" customHeight="true" outlineLevel="0" collapsed="false">
      <c r="A22" s="6" t="s">
        <v>59</v>
      </c>
      <c r="B22" s="6" t="s">
        <v>60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63</v>
      </c>
      <c r="B24" s="8" t="s">
        <v>64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32"/>
  </cols>
  <sheetData>
    <row r="2" customFormat="false" ht="16.15" hidden="false" customHeight="false" outlineLevel="0" collapsed="false">
      <c r="A2" s="2" t="s">
        <v>134</v>
      </c>
    </row>
    <row r="3" customFormat="false" ht="15" hidden="false" customHeight="false" outlineLevel="0" collapsed="false">
      <c r="A3" s="9" t="s">
        <v>135</v>
      </c>
      <c r="B3" s="9"/>
      <c r="C3" s="9"/>
      <c r="D3" s="9"/>
      <c r="E3" s="9"/>
      <c r="F3" s="9"/>
    </row>
    <row r="5" customFormat="false" ht="26.85" hidden="false" customHeight="false" outlineLevel="0" collapsed="false">
      <c r="A5" s="10" t="s">
        <v>11</v>
      </c>
      <c r="B5" s="10" t="s">
        <v>12</v>
      </c>
      <c r="C5" s="11" t="s">
        <v>136</v>
      </c>
      <c r="D5" s="11" t="s">
        <v>137</v>
      </c>
      <c r="E5" s="11" t="s">
        <v>138</v>
      </c>
      <c r="F5" s="11" t="s">
        <v>139</v>
      </c>
    </row>
    <row r="6" customFormat="false" ht="49.5" hidden="false" customHeight="true" outlineLevel="0" collapsed="false">
      <c r="A6" s="12" t="s">
        <v>21</v>
      </c>
      <c r="B6" s="12" t="s">
        <v>22</v>
      </c>
      <c r="C6" s="13" t="str">
        <f aca="false">INC!D13</f>
        <v>- Führungsstile im Überblick</v>
      </c>
      <c r="D6" s="13" t="str">
        <f aca="false">SUS!D13</f>
        <v>- Bias, Fairness, Transparenz, Verantwortlichkeit</v>
      </c>
      <c r="E6" s="13" t="str">
        <f aca="false">SCA!D13</f>
        <v>- Skalierungsbarrieren
- Organisationsdesign für Wachstum</v>
      </c>
      <c r="F6" s="13" t="str">
        <f aca="false">CAPI!D13</f>
        <v>- Kick-off mit Praxispartner</v>
      </c>
    </row>
    <row r="7" customFormat="false" ht="49.5" hidden="false" customHeight="true" outlineLevel="0" collapsed="false">
      <c r="A7" s="12" t="s">
        <v>27</v>
      </c>
      <c r="B7" s="12" t="s">
        <v>28</v>
      </c>
      <c r="C7" s="13" t="str">
        <f aca="false">INC!D14</f>
        <v>- Kennenlernen
- Erwartungsmanagement</v>
      </c>
      <c r="D7" s="13" t="str">
        <f aca="false">SUS!D14</f>
        <v>- Diskussion eines aktuellen Ethik-Falls</v>
      </c>
      <c r="E7" s="13" t="str">
        <f aca="false">SCA!D14</f>
        <v>- Fallbeispiel gescheiterte Skalierung</v>
      </c>
      <c r="F7" s="13" t="str">
        <f aca="false">CAPI!D14</f>
        <v>- Teambildung für Praxisprojekte</v>
      </c>
    </row>
    <row r="8" customFormat="false" ht="49.5" hidden="false" customHeight="true" outlineLevel="0" collapsed="false">
      <c r="A8" s="12" t="s">
        <v>31</v>
      </c>
      <c r="B8" s="12" t="s">
        <v>32</v>
      </c>
      <c r="C8" s="13" t="str">
        <f aca="false">INC!D15</f>
        <v>- Psychologische Sicherheit nach Edmondson</v>
      </c>
      <c r="D8" s="13" t="str">
        <f aca="false">SUS!D15</f>
        <v>- Compliance-Checkliste anwenden</v>
      </c>
      <c r="E8" s="13" t="str">
        <f aca="false">SCA!D15</f>
        <v>- Skalierungsstrategien im Überblick</v>
      </c>
      <c r="F8" s="13" t="str">
        <f aca="false">CAPI!D15</f>
        <v>- Problem-Framing</v>
      </c>
    </row>
    <row r="9" customFormat="false" ht="49.5" hidden="false" customHeight="true" outlineLevel="0" collapsed="false">
      <c r="A9" s="12" t="s">
        <v>36</v>
      </c>
      <c r="B9" s="12" t="s">
        <v>37</v>
      </c>
      <c r="C9" s="13" t="n">
        <f aca="false">INC!D16</f>
        <v>0</v>
      </c>
      <c r="D9" s="13" t="n">
        <f aca="false">SUS!D16</f>
        <v>0</v>
      </c>
      <c r="E9" s="13" t="str">
        <f aca="false">SCA!D16</f>
        <v>- Zwischenpräsentationen</v>
      </c>
      <c r="F9" s="13" t="n">
        <f aca="false">CAPI!D16</f>
        <v>0</v>
      </c>
    </row>
    <row r="10" customFormat="false" ht="49.5" hidden="false" customHeight="true" outlineLevel="0" collapsed="false">
      <c r="A10" s="12" t="s">
        <v>38</v>
      </c>
      <c r="B10" s="12" t="s">
        <v>39</v>
      </c>
      <c r="C10" s="13" t="str">
        <f aca="false">INC!D17</f>
        <v>- Feedbackmodelle
- Rollenspiele</v>
      </c>
      <c r="D10" s="13" t="str">
        <f aca="false">SUS!D17</f>
        <v>- EU AI Act im Überblick
- Risikoklassen</v>
      </c>
      <c r="E10" s="13" t="str">
        <f aca="false">SCA!D17</f>
        <v>- Wachstumsfinanzierung
- Serie-A/B-Finanzierungsrunden</v>
      </c>
      <c r="F10" s="13" t="str">
        <f aca="false">CAPI!D17</f>
        <v>- Zwischenfeedback mit Praxispartner</v>
      </c>
    </row>
    <row r="11" customFormat="false" ht="49.5" hidden="false" customHeight="true" outlineLevel="0" collapsed="false">
      <c r="A11" s="12" t="s">
        <v>43</v>
      </c>
      <c r="B11" s="12" t="s">
        <v>44</v>
      </c>
      <c r="C11" s="13" t="n">
        <f aca="false">INC!D18</f>
        <v>0</v>
      </c>
      <c r="D11" s="13" t="n">
        <f aca="false">SUS!D18</f>
        <v>0</v>
      </c>
      <c r="E11" s="13" t="str">
        <f aca="false">SCA!D18</f>
        <v>- Prozess- und Systemskalierung</v>
      </c>
      <c r="F11" s="13" t="str">
        <f aca="false">CAPI!D18</f>
        <v>- Vertiefung Lösungsansatz</v>
      </c>
    </row>
    <row r="12" customFormat="false" ht="49.5" hidden="false" customHeight="true" outlineLevel="0" collapsed="false">
      <c r="A12" s="12" t="s">
        <v>45</v>
      </c>
      <c r="B12" s="12" t="s">
        <v>46</v>
      </c>
      <c r="C12" s="13" t="str">
        <f aca="false">INC!D19</f>
        <v>- Fehlerkultur
- Experimentierfreude</v>
      </c>
      <c r="D12" s="13" t="str">
        <f aca="false">SUS!D19</f>
        <v>- Anwendung Assessment-Raster auf ein Fallbeispiel</v>
      </c>
      <c r="E12" s="13" t="str">
        <f aca="false">SCA!D19</f>
        <v>- Internationalisierung als Skalierungshebel</v>
      </c>
      <c r="F12" s="13" t="n">
        <f aca="false">CAPI!D19</f>
        <v>0</v>
      </c>
    </row>
    <row r="13" customFormat="false" ht="49.5" hidden="false" customHeight="true" outlineLevel="0" collapsed="false">
      <c r="A13" s="12" t="s">
        <v>50</v>
      </c>
      <c r="B13" s="12" t="s">
        <v>51</v>
      </c>
      <c r="C13" s="13" t="n">
        <f aca="false">INC!D20</f>
        <v>0</v>
      </c>
      <c r="D13" s="13" t="n">
        <f aca="false">SUS!D20</f>
        <v>0</v>
      </c>
      <c r="E13" s="13" t="str">
        <f aca="false">SCA!D20</f>
        <v>- Finalisierung Skalierungsplan</v>
      </c>
      <c r="F13" s="13" t="str">
        <f aca="false">CAPI!D20</f>
        <v>- Finalisierung Lösungskonzept</v>
      </c>
    </row>
    <row r="14" customFormat="false" ht="49.5" hidden="false" customHeight="true" outlineLevel="0" collapsed="false">
      <c r="A14" s="12" t="s">
        <v>52</v>
      </c>
      <c r="B14" s="12" t="s">
        <v>53</v>
      </c>
      <c r="C14" s="13" t="str">
        <f aca="false">INC!D21</f>
        <v>- Finalisierung Kulturwandel-Konzept</v>
      </c>
      <c r="D14" s="13" t="str">
        <f aca="false">SUS!D21</f>
        <v>- Finalisierung Assessment-Bericht</v>
      </c>
      <c r="E14" s="13" t="str">
        <f aca="false">SCA!D21</f>
        <v>- Abschlusspräsentationen</v>
      </c>
      <c r="F14" s="13" t="str">
        <f aca="false">CAPI!D21</f>
        <v>- Abschlusspräsentation beim Praxispartner</v>
      </c>
    </row>
    <row r="15" customFormat="false" ht="49.5" hidden="false" customHeight="true" outlineLevel="0" collapsed="false">
      <c r="A15" s="12" t="s">
        <v>59</v>
      </c>
      <c r="B15" s="12" t="s">
        <v>60</v>
      </c>
      <c r="C15" s="13" t="str">
        <f aca="false">INC!D22</f>
        <v>- Abschlussdiskussion in Kleingruppen</v>
      </c>
      <c r="D15" s="13" t="str">
        <f aca="false">SUS!D22</f>
        <v>- Abschlussdiskussion und Ausblick</v>
      </c>
      <c r="E15" s="13" t="n">
        <f aca="false">SCA!D22</f>
        <v>0</v>
      </c>
      <c r="F15" s="13" t="n">
        <f aca="false">CAPI!D22</f>
        <v>0</v>
      </c>
    </row>
    <row r="17" customFormat="false" ht="15" hidden="false" customHeight="false" outlineLevel="0" collapsed="false">
      <c r="A17" s="10" t="s">
        <v>140</v>
      </c>
      <c r="C17" s="10" t="n">
        <f aca="false">SUM(C18:F18)</f>
        <v>18</v>
      </c>
    </row>
    <row r="18" customFormat="false" ht="15" hidden="false" customHeight="false" outlineLevel="0" collapsed="false">
      <c r="C18" s="0" t="n">
        <v>3</v>
      </c>
      <c r="D18" s="0" t="n">
        <v>3</v>
      </c>
      <c r="E18" s="0" t="n">
        <v>6</v>
      </c>
      <c r="F18" s="0" t="n">
        <v>6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141</v>
      </c>
      <c r="C1" s="10" t="s">
        <v>142</v>
      </c>
    </row>
    <row r="2" customFormat="false" ht="15" hidden="false" customHeight="false" outlineLevel="0" collapsed="false">
      <c r="A2" s="0" t="n">
        <v>0</v>
      </c>
      <c r="C2" s="0" t="s">
        <v>58</v>
      </c>
    </row>
    <row r="3" customFormat="false" ht="15" hidden="false" customHeight="false" outlineLevel="0" collapsed="false">
      <c r="A3" s="0" t="n">
        <v>0.05</v>
      </c>
      <c r="C3" s="0" t="s">
        <v>75</v>
      </c>
    </row>
    <row r="4" customFormat="false" ht="15" hidden="false" customHeight="false" outlineLevel="0" collapsed="false">
      <c r="A4" s="0" t="n">
        <v>0.1</v>
      </c>
      <c r="C4" s="0" t="s">
        <v>143</v>
      </c>
    </row>
    <row r="5" customFormat="false" ht="15" hidden="false" customHeight="false" outlineLevel="0" collapsed="false">
      <c r="A5" s="0" t="n">
        <v>0.15</v>
      </c>
    </row>
    <row r="6" customFormat="false" ht="15" hidden="false" customHeight="false" outlineLevel="0" collapsed="false">
      <c r="A6" s="0" t="n">
        <v>0.2</v>
      </c>
    </row>
    <row r="7" customFormat="false" ht="15" hidden="false" customHeight="false" outlineLevel="0" collapsed="false">
      <c r="A7" s="0" t="n">
        <v>0.25</v>
      </c>
    </row>
    <row r="8" customFormat="false" ht="15" hidden="false" customHeight="false" outlineLevel="0" collapsed="false">
      <c r="A8" s="0" t="n">
        <v>0.3</v>
      </c>
    </row>
    <row r="9" customFormat="false" ht="15" hidden="false" customHeight="false" outlineLevel="0" collapsed="false">
      <c r="A9" s="0" t="n">
        <v>0.35</v>
      </c>
    </row>
    <row r="10" customFormat="false" ht="15" hidden="false" customHeight="false" outlineLevel="0" collapsed="false">
      <c r="A10" s="0" t="n">
        <v>0.4</v>
      </c>
    </row>
    <row r="11" customFormat="false" ht="15" hidden="false" customHeight="false" outlineLevel="0" collapsed="false">
      <c r="A11" s="0" t="n">
        <v>0.45</v>
      </c>
    </row>
    <row r="12" customFormat="false" ht="15" hidden="false" customHeight="false" outlineLevel="0" collapsed="false">
      <c r="A12" s="0" t="n">
        <v>0.5</v>
      </c>
    </row>
    <row r="13" customFormat="false" ht="15" hidden="false" customHeight="false" outlineLevel="0" collapsed="false">
      <c r="A13" s="0" t="n">
        <v>0.55</v>
      </c>
    </row>
    <row r="14" customFormat="false" ht="15" hidden="false" customHeight="false" outlineLevel="0" collapsed="false">
      <c r="A14" s="0" t="n">
        <v>0.6</v>
      </c>
    </row>
    <row r="15" customFormat="false" ht="15" hidden="false" customHeight="false" outlineLevel="0" collapsed="false">
      <c r="A15" s="0" t="n">
        <v>0.65</v>
      </c>
    </row>
    <row r="16" customFormat="false" ht="15" hidden="false" customHeight="false" outlineLevel="0" collapsed="false">
      <c r="A16" s="0" t="n">
        <v>0.7</v>
      </c>
    </row>
    <row r="17" customFormat="false" ht="15" hidden="false" customHeight="false" outlineLevel="0" collapsed="false">
      <c r="A17" s="0" t="n">
        <v>0.75</v>
      </c>
    </row>
    <row r="18" customFormat="false" ht="15" hidden="false" customHeight="false" outlineLevel="0" collapsed="false">
      <c r="A18" s="0" t="n">
        <v>0.8</v>
      </c>
    </row>
    <row r="19" customFormat="false" ht="15" hidden="false" customHeight="false" outlineLevel="0" collapsed="false">
      <c r="A19" s="0" t="n">
        <v>0.85</v>
      </c>
    </row>
    <row r="20" customFormat="false" ht="15" hidden="false" customHeight="false" outlineLevel="0" collapsed="false">
      <c r="A20" s="0" t="n">
        <v>0.9</v>
      </c>
    </row>
    <row r="21" customFormat="false" ht="15" hidden="false" customHeight="false" outlineLevel="0" collapsed="false">
      <c r="A21" s="0" t="n">
        <v>0.95</v>
      </c>
    </row>
    <row r="22" customFormat="false" ht="15" hidden="false" customHeight="false" outlineLevel="0" collapsed="false">
      <c r="A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2026-09-15T18:54:25Z</dcterms:created>
  <dc:creator>openpyxl</dc:creator>
  <dc:description/>
  <dc:language>en-US</dc:language>
  <cp:lastModifiedBy/>
  <dcterms:modified xsi:type="dcterms:W3CDTF">2026-09-15T18:54:25Z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