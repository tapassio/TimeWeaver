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BF" sheetId="1" state="visible" r:id="rId3"/>
    <sheet name="FAC" sheetId="2" state="visible" r:id="rId4"/>
    <sheet name="MEC" sheetId="3" state="visible" r:id="rId5"/>
    <sheet name="BCM" sheetId="4" state="visible" r:id="rId6"/>
    <sheet name="Module Coordination" sheetId="5" state="visible" r:id="rId7"/>
    <sheet name="Paramet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<sst xmlns="http://schemas.openxmlformats.org/spreadsheetml/2006/main" count="366" uniqueCount="153">
  <si>
    <t xml:space="preserve">Detailed Module Concept - MSc Digital Business Administration</t>
  </si>
  <si>
    <t xml:space="preserve">MBF - Management &amp; Organizational Foundations  (6 ECTS)</t>
  </si>
  <si>
    <t xml:space="preserve">The detailed module concept serves as a comprehensive blueprint for structuring a module over the course of a semester. It defines the key learning goals, ensuring clear educational outcomes for students. It outlines the main content areas, providing a structured framework for effective knowledge delivery. Additionally, it specifies the responsibilities of lecturers, assigning which lecturer is responsible for delivering content in each learning cycle or on-campus session. The concept also includes the assignment structure, detailing assessments and learning activities for each phase of the module. This ensures consistency and alignment with course objectives.</t>
  </si>
  <si>
    <t xml:space="preserve">Explanation:</t>
  </si>
  <si>
    <t xml:space="preserve">Please describe the key learning goals in each LC and On-Campus session</t>
  </si>
  <si>
    <t xml:space="preserve">Please write a short summary of the main content in each LC and On-Campus session in bullet points</t>
  </si>
  <si>
    <t xml:space="preserve">Which didactic methods and teaching tools are used in each LC and On-Campus session?</t>
  </si>
  <si>
    <t xml:space="preserve">Please describe the assignment (if applicable) in bullet points</t>
  </si>
  <si>
    <t xml:space="preserve">Please choose assignment type from the drop-down menu</t>
  </si>
  <si>
    <t xml:space="preserve">Please select the grading percentage from the drop-down menu</t>
  </si>
  <si>
    <t xml:space="preserve">Please specify the lecturer responsible for each LC and On-Campus session</t>
  </si>
  <si>
    <t xml:space="preserve">Structural Elements</t>
  </si>
  <si>
    <t xml:space="preserve">Dates</t>
  </si>
  <si>
    <t xml:space="preserve">Learning Goals</t>
  </si>
  <si>
    <t xml:space="preserve">Main Content (bullet points)</t>
  </si>
  <si>
    <t xml:space="preserve">Didactics &amp; Tools</t>
  </si>
  <si>
    <t xml:space="preserve">Description Assignment (bullet points)</t>
  </si>
  <si>
    <t xml:space="preserve">Assignment Type (drop down)</t>
  </si>
  <si>
    <t xml:space="preserve">Grading Percentage (drop down)</t>
  </si>
  <si>
    <t xml:space="preserve">Lecturer</t>
  </si>
  <si>
    <t xml:space="preserve">Comments</t>
  </si>
  <si>
    <t xml:space="preserve">CW 40
On-Campus 1</t>
  </si>
  <si>
    <t xml:space="preserve">01.10.-03.10.</t>
  </si>
  <si>
    <t xml:space="preserve">- Studierende verstehen Grundfunktionen des Managements</t>
  </si>
  <si>
    <t xml:space="preserve">- Planen, Organisieren, Führen, Kontrollieren</t>
  </si>
  <si>
    <t xml:space="preserve">- Vorlesung
- Diskussion</t>
  </si>
  <si>
    <t xml:space="preserve">Prof. Aeschbacher</t>
  </si>
  <si>
    <t xml:space="preserve">CW 39-40
Learning Cycle 1</t>
  </si>
  <si>
    <t xml:space="preserve">21.09.-04.10.</t>
  </si>
  <si>
    <t xml:space="preserve">- Studierende können Organisationsformen vergleichen</t>
  </si>
  <si>
    <t xml:space="preserve">- Funktionale vs. divisionale Organisation
- Matrixorganisation</t>
  </si>
  <si>
    <t xml:space="preserve">- Fallstudie</t>
  </si>
  <si>
    <t xml:space="preserve">CW 41-42
Learning Cycle 2</t>
  </si>
  <si>
    <t xml:space="preserve">05.10.-18.10.</t>
  </si>
  <si>
    <t xml:space="preserve">- Studierende können ein Geschäftsmodell strukturiert beschreiben</t>
  </si>
  <si>
    <t xml:space="preserve">- Business Model Canvas
- Value Proposition Design</t>
  </si>
  <si>
    <t xml:space="preserve">- Video-Tutorial
- Vorlage zum Selbstausfüllen</t>
  </si>
  <si>
    <t xml:space="preserve">- Ausgefülltes Canvas für ein selbst gewähltes Unternehmen</t>
  </si>
  <si>
    <t xml:space="preserve">Graded</t>
  </si>
  <si>
    <t xml:space="preserve">CW 43
On-Campus 2</t>
  </si>
  <si>
    <t xml:space="preserve">22.10.-24.10.</t>
  </si>
  <si>
    <t xml:space="preserve">- Studierende können ihr Canvas im Plenum verteidigen</t>
  </si>
  <si>
    <t xml:space="preserve">- Präsentation der Canvas-Entwürfe
- Peer-Feedback</t>
  </si>
  <si>
    <t xml:space="preserve">- Kurzpräsentationen</t>
  </si>
  <si>
    <t xml:space="preserve">CW 44-45
Learning Cycle 3</t>
  </si>
  <si>
    <t xml:space="preserve">26.10.-08.11.</t>
  </si>
  <si>
    <t xml:space="preserve">- Studierende kennen Grundmodelle der Organisationskultur</t>
  </si>
  <si>
    <t xml:space="preserve">- Kulturmodelle nach Schein
- Artefakte, Werte, Grundannahmen</t>
  </si>
  <si>
    <t xml:space="preserve">- Lesetext</t>
  </si>
  <si>
    <t xml:space="preserve">CW 46-47
Learning Cycle 4</t>
  </si>
  <si>
    <t xml:space="preserve">09.11.-22.11.</t>
  </si>
  <si>
    <t xml:space="preserve">- Studierende können Stakeholder eines Unternehmens systematisch erfassen</t>
  </si>
  <si>
    <t xml:space="preserve">- Stakeholder-Mapping</t>
  </si>
  <si>
    <t xml:space="preserve">- Gruppenarbeit</t>
  </si>
  <si>
    <t xml:space="preserve">- Stakeholder-Map für ein Fallbeispiel</t>
  </si>
  <si>
    <t xml:space="preserve">Pass/Fail</t>
  </si>
  <si>
    <t xml:space="preserve">CW 48
On-Campus 3</t>
  </si>
  <si>
    <t xml:space="preserve">26.11.-28.11.</t>
  </si>
  <si>
    <t xml:space="preserve">- Studierende können Managemententscheidungen kritisch reflektieren</t>
  </si>
  <si>
    <t xml:space="preserve">- Entscheidungsfindung unter Unsicherheit</t>
  </si>
  <si>
    <t xml:space="preserve">- Fallstudie
- Diskussion</t>
  </si>
  <si>
    <t xml:space="preserve">CW 49-50
Learning Cycle 5</t>
  </si>
  <si>
    <t xml:space="preserve">30.11.-13.12.</t>
  </si>
  <si>
    <t xml:space="preserve">- Studierende kennen zentrale Managementtheorien im Überblick</t>
  </si>
  <si>
    <t xml:space="preserve">- Klassische vs. moderne Managementtheorien</t>
  </si>
  <si>
    <t xml:space="preserve">CW 50-51
Learning Cycle 6</t>
  </si>
  <si>
    <t xml:space="preserve">07.12.-20.12.</t>
  </si>
  <si>
    <t xml:space="preserve">- Studierende können ein Organisationskonzept ausarbeiten</t>
  </si>
  <si>
    <t xml:space="preserve">- Finalisierung Organisationskonzept</t>
  </si>
  <si>
    <t xml:space="preserve">- Selbststudium</t>
  </si>
  <si>
    <t xml:space="preserve">- Organisationskonzept-Papier (max. 5 Seiten)</t>
  </si>
  <si>
    <t xml:space="preserve">CW 51
On-Campus 4</t>
  </si>
  <si>
    <t xml:space="preserve">17.12.-19.12.</t>
  </si>
  <si>
    <t xml:space="preserve">- Studierende können ihr Organisationskonzept präsentieren</t>
  </si>
  <si>
    <t xml:space="preserve">- Abschlusspräsentationen</t>
  </si>
  <si>
    <t xml:space="preserve">- Gruppenpräsentationen</t>
  </si>
  <si>
    <t xml:space="preserve">- Abschlusspräsentation (10 Min.)</t>
  </si>
  <si>
    <t xml:space="preserve">Additional Written Exams, Group Presentations, Reports</t>
  </si>
  <si>
    <t xml:space="preserve">After last On-Campus</t>
  </si>
  <si>
    <t xml:space="preserve">FAC - Financial Accounting Basics  (6 ECTS)</t>
  </si>
  <si>
    <t xml:space="preserve">- Studierende verstehen Aufbau und Zweck der Bilanz</t>
  </si>
  <si>
    <t xml:space="preserve">- Aktiven, Passiven, Eigenkapital</t>
  </si>
  <si>
    <t xml:space="preserve">- Vorlesung</t>
  </si>
  <si>
    <t xml:space="preserve">Prof. Egger</t>
  </si>
  <si>
    <t xml:space="preserve">- Studierende können einfache Buchungssätze bilden</t>
  </si>
  <si>
    <t xml:space="preserve">- Doppelte Buchführung
- Grundbuchungen</t>
  </si>
  <si>
    <t xml:space="preserve">- Übungsaufgaben</t>
  </si>
  <si>
    <t xml:space="preserve">- Buchungsübung anhand eines Fallbeispiels</t>
  </si>
  <si>
    <t xml:space="preserve">- Studierende verstehen die Erfolgsrechnung</t>
  </si>
  <si>
    <t xml:space="preserve">- Aufwand, Ertrag, Gewinn</t>
  </si>
  <si>
    <t xml:space="preserve">- Studierende können ihre Buchungsübungen im Plenum diskutieren</t>
  </si>
  <si>
    <t xml:space="preserve">- Besprechung Übungsfälle</t>
  </si>
  <si>
    <t xml:space="preserve">- Plenumsdiskussion</t>
  </si>
  <si>
    <t xml:space="preserve">- Studierende können zentrale Finanzkennzahlen berechnen</t>
  </si>
  <si>
    <t xml:space="preserve">- Liquiditätsgrade
- Rentabilitätskennzahlen</t>
  </si>
  <si>
    <t xml:space="preserve">- Übungsdatensatz</t>
  </si>
  <si>
    <t xml:space="preserve">- Studierende können eine Jahresrechnung analysieren</t>
  </si>
  <si>
    <t xml:space="preserve">- Kennzahlenanalyse eines Fallunternehmens</t>
  </si>
  <si>
    <t xml:space="preserve">- Kennzahlenanalyse-Bericht</t>
  </si>
  <si>
    <t xml:space="preserve">- Studierende kennen Grundzüge der Kostenrechnung</t>
  </si>
  <si>
    <t xml:space="preserve">- Fixkosten, variable Kosten, Deckungsbeitrag</t>
  </si>
  <si>
    <t xml:space="preserve">- Studierende können eine Break-Even-Analyse durchführen</t>
  </si>
  <si>
    <t xml:space="preserve">- Break-Even-Point
- Szenariorechnung</t>
  </si>
  <si>
    <t xml:space="preserve">- Studierende können ein einfaches Budget erstellen</t>
  </si>
  <si>
    <t xml:space="preserve">- Budgetierung Grundlagen</t>
  </si>
  <si>
    <t xml:space="preserve">- Budgetplan für ein Fallbeispiel</t>
  </si>
  <si>
    <t xml:space="preserve">- Studierende können ihre Finanzanalyse präsentieren</t>
  </si>
  <si>
    <t xml:space="preserve">MEC - Managerial Economics  (3 ECTS)</t>
  </si>
  <si>
    <t xml:space="preserve">- Studierende kennen Grundprinzipien von Angebot und Nachfrage</t>
  </si>
  <si>
    <t xml:space="preserve">- Marktmechanismen</t>
  </si>
  <si>
    <t xml:space="preserve">Prof. Baumann</t>
  </si>
  <si>
    <t xml:space="preserve">- Fallbeispiel Preiselastizität</t>
  </si>
  <si>
    <t xml:space="preserve">- Diskussion</t>
  </si>
  <si>
    <t xml:space="preserve">- Studierende können Marktstrukturen unterscheiden</t>
  </si>
  <si>
    <t xml:space="preserve">- Monopol, Oligopol, vollständige Konkurrenz</t>
  </si>
  <si>
    <t xml:space="preserve">- Kurzanalyse einer Marktstruktur</t>
  </si>
  <si>
    <t xml:space="preserve">- Studierende kennen Grundlagen der Preisstrategie</t>
  </si>
  <si>
    <t xml:space="preserve">- Preisdifferenzierung</t>
  </si>
  <si>
    <t xml:space="preserve">- Studierende können ein einfaches Pricing-Modell anwenden</t>
  </si>
  <si>
    <t xml:space="preserve">- Pricing-Übung</t>
  </si>
  <si>
    <t xml:space="preserve">- Studierende können eine Preisstrategie ausarbeiten</t>
  </si>
  <si>
    <t xml:space="preserve">- Finalisierung Preisstrategie-Papier</t>
  </si>
  <si>
    <t xml:space="preserve">- Preisstrategie-Papier (max. 3 Seiten)</t>
  </si>
  <si>
    <t xml:space="preserve">- Präsentation (7 Min.)</t>
  </si>
  <si>
    <t xml:space="preserve">BCM - Business Communication  (3 ECTS)</t>
  </si>
  <si>
    <t xml:space="preserve">- Studierende kennen Grundprinzipien wirkungsvoller Geschäftskommunikation</t>
  </si>
  <si>
    <t xml:space="preserve">- Zielgruppenorientierte Kommunikation</t>
  </si>
  <si>
    <t xml:space="preserve">Prof. Chapuis</t>
  </si>
  <si>
    <t xml:space="preserve">- Kennenlern-Übung
- Erwartungsmanagement</t>
  </si>
  <si>
    <t xml:space="preserve">- Gruppenübung</t>
  </si>
  <si>
    <t xml:space="preserve">- Studierende können Feedbackgespräche strukturiert führen</t>
  </si>
  <si>
    <t xml:space="preserve">- Feedbackmodelle
- Aktives Zuhören</t>
  </si>
  <si>
    <t xml:space="preserve">- Rollenspiel</t>
  </si>
  <si>
    <t xml:space="preserve">- Reflexionstext zu einem Feedbackgespräch</t>
  </si>
  <si>
    <t xml:space="preserve">- Studierende kennen Grundlagen professioneller Präsentationstechnik</t>
  </si>
  <si>
    <t xml:space="preserve">- Aufbau überzeugender Präsentationen</t>
  </si>
  <si>
    <t xml:space="preserve">- Studierende können eine Kurzpräsentation vorbereiten</t>
  </si>
  <si>
    <t xml:space="preserve">- Präsentationsübung</t>
  </si>
  <si>
    <t xml:space="preserve">- Coaching in Kleingruppen</t>
  </si>
  <si>
    <t xml:space="preserve">- Studierende können eine überzeugende Geschäftspräsentation ausarbeiten</t>
  </si>
  <si>
    <t xml:space="preserve">- Finalisierung Präsentation</t>
  </si>
  <si>
    <t xml:space="preserve">- Geschäftspräsentation (max. 8 Folien)</t>
  </si>
  <si>
    <t xml:space="preserve">- Abschlusspräsentationen mit Peer-Feedback</t>
  </si>
  <si>
    <t xml:space="preserve">Module Coordination</t>
  </si>
  <si>
    <t xml:space="preserve">Overview of Main Content per Learning Cycle across all modules of the semester - used to spot unintended overlaps and coordinate workload.</t>
  </si>
  <si>
    <t xml:space="preserve">MBF - Management &amp; Organizational Foundations</t>
  </si>
  <si>
    <t xml:space="preserve">FAC - Financial Accounting Basics</t>
  </si>
  <si>
    <t xml:space="preserve">MEC - Managerial Economics</t>
  </si>
  <si>
    <t xml:space="preserve">BCM - Business Communication</t>
  </si>
  <si>
    <t xml:space="preserve">Total ECTS this semester</t>
  </si>
  <si>
    <t xml:space="preserve">Assignment Percentage</t>
  </si>
  <si>
    <t xml:space="preserve">Assignment Type</t>
  </si>
  <si>
    <t xml:space="preserve">Non-graded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</si>
</sst>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80808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23</v>
      </c>
      <c r="D13" s="6" t="s">
        <v>24</v>
      </c>
      <c r="E13" s="6" t="s">
        <v>25</v>
      </c>
      <c r="F13" s="6"/>
      <c r="G13" s="6"/>
      <c r="H13" s="6"/>
      <c r="I13" s="6" t="s">
        <v>26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 t="s">
        <v>29</v>
      </c>
      <c r="D14" s="6" t="s">
        <v>30</v>
      </c>
      <c r="E14" s="6" t="s">
        <v>31</v>
      </c>
      <c r="F14" s="6"/>
      <c r="G14" s="6"/>
      <c r="H14" s="6"/>
      <c r="I14" s="6" t="s">
        <v>26</v>
      </c>
      <c r="J14" s="6"/>
    </row>
    <row r="15" customFormat="false" ht="69.75" hidden="false" customHeight="true" outlineLevel="0" collapsed="false">
      <c r="A15" s="6" t="s">
        <v>32</v>
      </c>
      <c r="B15" s="6" t="s">
        <v>33</v>
      </c>
      <c r="C15" s="6" t="s">
        <v>34</v>
      </c>
      <c r="D15" s="6" t="s">
        <v>35</v>
      </c>
      <c r="E15" s="6" t="s">
        <v>36</v>
      </c>
      <c r="F15" s="6" t="s">
        <v>37</v>
      </c>
      <c r="G15" s="6" t="s">
        <v>38</v>
      </c>
      <c r="H15" s="6" t="n">
        <v>0.2</v>
      </c>
      <c r="I15" s="6" t="s">
        <v>26</v>
      </c>
      <c r="J15" s="6"/>
    </row>
    <row r="16" customFormat="false" ht="69.75" hidden="false" customHeight="true" outlineLevel="0" collapsed="false">
      <c r="A16" s="6" t="s">
        <v>39</v>
      </c>
      <c r="B16" s="6" t="s">
        <v>40</v>
      </c>
      <c r="C16" s="6" t="s">
        <v>41</v>
      </c>
      <c r="D16" s="6" t="s">
        <v>42</v>
      </c>
      <c r="E16" s="6" t="s">
        <v>43</v>
      </c>
      <c r="F16" s="6"/>
      <c r="G16" s="6"/>
      <c r="H16" s="6"/>
      <c r="I16" s="6" t="s">
        <v>26</v>
      </c>
      <c r="J16" s="6"/>
    </row>
    <row r="17" customFormat="false" ht="69.75" hidden="false" customHeight="true" outlineLevel="0" collapsed="false">
      <c r="A17" s="6" t="s">
        <v>44</v>
      </c>
      <c r="B17" s="6" t="s">
        <v>45</v>
      </c>
      <c r="C17" s="6" t="s">
        <v>46</v>
      </c>
      <c r="D17" s="6" t="s">
        <v>47</v>
      </c>
      <c r="E17" s="6" t="s">
        <v>48</v>
      </c>
      <c r="F17" s="6"/>
      <c r="G17" s="6"/>
      <c r="H17" s="6"/>
      <c r="I17" s="6" t="s">
        <v>26</v>
      </c>
      <c r="J17" s="6"/>
    </row>
    <row r="18" customFormat="false" ht="69.75" hidden="false" customHeight="true" outlineLevel="0" collapsed="false">
      <c r="A18" s="6" t="s">
        <v>49</v>
      </c>
      <c r="B18" s="6" t="s">
        <v>50</v>
      </c>
      <c r="C18" s="6" t="s">
        <v>51</v>
      </c>
      <c r="D18" s="6" t="s">
        <v>52</v>
      </c>
      <c r="E18" s="6" t="s">
        <v>53</v>
      </c>
      <c r="F18" s="6" t="s">
        <v>54</v>
      </c>
      <c r="G18" s="6" t="s">
        <v>55</v>
      </c>
      <c r="H18" s="6" t="n">
        <v>0</v>
      </c>
      <c r="I18" s="6" t="s">
        <v>26</v>
      </c>
      <c r="J18" s="6"/>
    </row>
    <row r="19" customFormat="false" ht="69.75" hidden="false" customHeight="true" outlineLevel="0" collapsed="false">
      <c r="A19" s="6" t="s">
        <v>56</v>
      </c>
      <c r="B19" s="6" t="s">
        <v>57</v>
      </c>
      <c r="C19" s="6" t="s">
        <v>58</v>
      </c>
      <c r="D19" s="6" t="s">
        <v>59</v>
      </c>
      <c r="E19" s="6" t="s">
        <v>60</v>
      </c>
      <c r="F19" s="6"/>
      <c r="G19" s="6"/>
      <c r="H19" s="6"/>
      <c r="I19" s="6" t="s">
        <v>26</v>
      </c>
      <c r="J19" s="6"/>
    </row>
    <row r="20" customFormat="false" ht="69.75" hidden="false" customHeight="true" outlineLevel="0" collapsed="false">
      <c r="A20" s="6" t="s">
        <v>61</v>
      </c>
      <c r="B20" s="6" t="s">
        <v>62</v>
      </c>
      <c r="C20" s="6" t="s">
        <v>63</v>
      </c>
      <c r="D20" s="6" t="s">
        <v>64</v>
      </c>
      <c r="E20" s="6" t="s">
        <v>48</v>
      </c>
      <c r="F20" s="6"/>
      <c r="G20" s="6"/>
      <c r="H20" s="6"/>
      <c r="I20" s="6" t="s">
        <v>26</v>
      </c>
      <c r="J20" s="6"/>
    </row>
    <row r="21" customFormat="false" ht="69.75" hidden="false" customHeight="true" outlineLevel="0" collapsed="false">
      <c r="A21" s="6" t="s">
        <v>65</v>
      </c>
      <c r="B21" s="6" t="s">
        <v>66</v>
      </c>
      <c r="C21" s="6" t="s">
        <v>67</v>
      </c>
      <c r="D21" s="6" t="s">
        <v>68</v>
      </c>
      <c r="E21" s="6" t="s">
        <v>69</v>
      </c>
      <c r="F21" s="6" t="s">
        <v>70</v>
      </c>
      <c r="G21" s="6" t="s">
        <v>38</v>
      </c>
      <c r="H21" s="6" t="n">
        <v>0.3</v>
      </c>
      <c r="I21" s="6" t="s">
        <v>26</v>
      </c>
      <c r="J21" s="6"/>
    </row>
    <row r="22" customFormat="false" ht="69.75" hidden="false" customHeight="true" outlineLevel="0" collapsed="false">
      <c r="A22" s="6" t="s">
        <v>71</v>
      </c>
      <c r="B22" s="6" t="s">
        <v>72</v>
      </c>
      <c r="C22" s="6" t="s">
        <v>73</v>
      </c>
      <c r="D22" s="6" t="s">
        <v>74</v>
      </c>
      <c r="E22" s="6" t="s">
        <v>75</v>
      </c>
      <c r="F22" s="6" t="s">
        <v>76</v>
      </c>
      <c r="G22" s="6" t="s">
        <v>38</v>
      </c>
      <c r="H22" s="6" t="n">
        <v>0.5</v>
      </c>
      <c r="I22" s="6" t="s">
        <v>26</v>
      </c>
      <c r="J22" s="6"/>
    </row>
    <row r="24" customFormat="false" ht="15" hidden="false" customHeight="false" outlineLevel="0" collapsed="false">
      <c r="A24" s="7" t="s">
        <v>77</v>
      </c>
      <c r="B24" s="8" t="s">
        <v>78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79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80</v>
      </c>
      <c r="D13" s="6" t="s">
        <v>81</v>
      </c>
      <c r="E13" s="6" t="s">
        <v>82</v>
      </c>
      <c r="F13" s="6"/>
      <c r="G13" s="6"/>
      <c r="H13" s="6"/>
      <c r="I13" s="6" t="s">
        <v>83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 t="s">
        <v>84</v>
      </c>
      <c r="D14" s="6" t="s">
        <v>85</v>
      </c>
      <c r="E14" s="6" t="s">
        <v>86</v>
      </c>
      <c r="F14" s="6" t="s">
        <v>87</v>
      </c>
      <c r="G14" s="6" t="s">
        <v>55</v>
      </c>
      <c r="H14" s="6" t="n">
        <v>0</v>
      </c>
      <c r="I14" s="6" t="s">
        <v>83</v>
      </c>
      <c r="J14" s="6"/>
    </row>
    <row r="15" customFormat="false" ht="69.75" hidden="false" customHeight="true" outlineLevel="0" collapsed="false">
      <c r="A15" s="6" t="s">
        <v>32</v>
      </c>
      <c r="B15" s="6" t="s">
        <v>33</v>
      </c>
      <c r="C15" s="6" t="s">
        <v>88</v>
      </c>
      <c r="D15" s="6" t="s">
        <v>89</v>
      </c>
      <c r="E15" s="6" t="s">
        <v>86</v>
      </c>
      <c r="F15" s="6"/>
      <c r="G15" s="6"/>
      <c r="H15" s="6"/>
      <c r="I15" s="6" t="s">
        <v>83</v>
      </c>
      <c r="J15" s="6"/>
    </row>
    <row r="16" customFormat="false" ht="69.75" hidden="false" customHeight="true" outlineLevel="0" collapsed="false">
      <c r="A16" s="6" t="s">
        <v>39</v>
      </c>
      <c r="B16" s="6" t="s">
        <v>40</v>
      </c>
      <c r="C16" s="6" t="s">
        <v>90</v>
      </c>
      <c r="D16" s="6" t="s">
        <v>91</v>
      </c>
      <c r="E16" s="6" t="s">
        <v>92</v>
      </c>
      <c r="F16" s="6"/>
      <c r="G16" s="6"/>
      <c r="H16" s="6"/>
      <c r="I16" s="6" t="s">
        <v>83</v>
      </c>
      <c r="J16" s="6"/>
    </row>
    <row r="17" customFormat="false" ht="69.75" hidden="false" customHeight="true" outlineLevel="0" collapsed="false">
      <c r="A17" s="6" t="s">
        <v>44</v>
      </c>
      <c r="B17" s="6" t="s">
        <v>45</v>
      </c>
      <c r="C17" s="6" t="s">
        <v>93</v>
      </c>
      <c r="D17" s="6" t="s">
        <v>94</v>
      </c>
      <c r="E17" s="6" t="s">
        <v>95</v>
      </c>
      <c r="F17" s="6"/>
      <c r="G17" s="6"/>
      <c r="H17" s="6"/>
      <c r="I17" s="6" t="s">
        <v>83</v>
      </c>
      <c r="J17" s="6"/>
    </row>
    <row r="18" customFormat="false" ht="69.75" hidden="false" customHeight="true" outlineLevel="0" collapsed="false">
      <c r="A18" s="6" t="s">
        <v>49</v>
      </c>
      <c r="B18" s="6" t="s">
        <v>50</v>
      </c>
      <c r="C18" s="6" t="s">
        <v>96</v>
      </c>
      <c r="D18" s="6" t="s">
        <v>97</v>
      </c>
      <c r="E18" s="6" t="s">
        <v>31</v>
      </c>
      <c r="F18" s="6" t="s">
        <v>98</v>
      </c>
      <c r="G18" s="6" t="s">
        <v>38</v>
      </c>
      <c r="H18" s="6" t="n">
        <v>0.25</v>
      </c>
      <c r="I18" s="6" t="s">
        <v>83</v>
      </c>
      <c r="J18" s="6"/>
    </row>
    <row r="19" customFormat="false" ht="69.75" hidden="false" customHeight="true" outlineLevel="0" collapsed="false">
      <c r="A19" s="6" t="s">
        <v>56</v>
      </c>
      <c r="B19" s="6" t="s">
        <v>57</v>
      </c>
      <c r="C19" s="6" t="s">
        <v>99</v>
      </c>
      <c r="D19" s="6" t="s">
        <v>100</v>
      </c>
      <c r="E19" s="6" t="s">
        <v>48</v>
      </c>
      <c r="F19" s="6"/>
      <c r="G19" s="6"/>
      <c r="H19" s="6"/>
      <c r="I19" s="6" t="s">
        <v>83</v>
      </c>
      <c r="J19" s="6"/>
    </row>
    <row r="20" customFormat="false" ht="69.75" hidden="false" customHeight="true" outlineLevel="0" collapsed="false">
      <c r="A20" s="6" t="s">
        <v>61</v>
      </c>
      <c r="B20" s="6" t="s">
        <v>62</v>
      </c>
      <c r="C20" s="6" t="s">
        <v>101</v>
      </c>
      <c r="D20" s="6" t="s">
        <v>102</v>
      </c>
      <c r="E20" s="6" t="s">
        <v>86</v>
      </c>
      <c r="F20" s="6"/>
      <c r="G20" s="6"/>
      <c r="H20" s="6"/>
      <c r="I20" s="6" t="s">
        <v>83</v>
      </c>
      <c r="J20" s="6"/>
    </row>
    <row r="21" customFormat="false" ht="69.75" hidden="false" customHeight="true" outlineLevel="0" collapsed="false">
      <c r="A21" s="6" t="s">
        <v>65</v>
      </c>
      <c r="B21" s="6" t="s">
        <v>66</v>
      </c>
      <c r="C21" s="6" t="s">
        <v>103</v>
      </c>
      <c r="D21" s="6" t="s">
        <v>104</v>
      </c>
      <c r="E21" s="6" t="s">
        <v>69</v>
      </c>
      <c r="F21" s="6" t="s">
        <v>105</v>
      </c>
      <c r="G21" s="6" t="s">
        <v>38</v>
      </c>
      <c r="H21" s="6" t="n">
        <v>0.25</v>
      </c>
      <c r="I21" s="6" t="s">
        <v>83</v>
      </c>
      <c r="J21" s="6"/>
    </row>
    <row r="22" customFormat="false" ht="69.75" hidden="false" customHeight="true" outlineLevel="0" collapsed="false">
      <c r="A22" s="6" t="s">
        <v>71</v>
      </c>
      <c r="B22" s="6" t="s">
        <v>72</v>
      </c>
      <c r="C22" s="6" t="s">
        <v>106</v>
      </c>
      <c r="D22" s="6" t="s">
        <v>74</v>
      </c>
      <c r="E22" s="6" t="s">
        <v>75</v>
      </c>
      <c r="F22" s="6" t="s">
        <v>76</v>
      </c>
      <c r="G22" s="6" t="s">
        <v>38</v>
      </c>
      <c r="H22" s="6" t="n">
        <v>0.5</v>
      </c>
      <c r="I22" s="6" t="s">
        <v>83</v>
      </c>
      <c r="J22" s="6"/>
    </row>
    <row r="24" customFormat="false" ht="15" hidden="false" customHeight="false" outlineLevel="0" collapsed="false">
      <c r="A24" s="7" t="s">
        <v>77</v>
      </c>
      <c r="B24" s="8" t="s">
        <v>78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107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108</v>
      </c>
      <c r="D13" s="6" t="s">
        <v>109</v>
      </c>
      <c r="E13" s="6" t="s">
        <v>82</v>
      </c>
      <c r="F13" s="6"/>
      <c r="G13" s="6"/>
      <c r="H13" s="6"/>
      <c r="I13" s="6" t="s">
        <v>110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111</v>
      </c>
      <c r="E14" s="6" t="s">
        <v>112</v>
      </c>
      <c r="F14" s="6"/>
      <c r="G14" s="6"/>
      <c r="H14" s="6"/>
      <c r="I14" s="6" t="s">
        <v>110</v>
      </c>
      <c r="J14" s="6"/>
    </row>
    <row r="15" customFormat="false" ht="69.75" hidden="false" customHeight="true" outlineLevel="0" collapsed="false">
      <c r="A15" s="6" t="s">
        <v>32</v>
      </c>
      <c r="B15" s="6" t="s">
        <v>33</v>
      </c>
      <c r="C15" s="6" t="s">
        <v>113</v>
      </c>
      <c r="D15" s="6" t="s">
        <v>114</v>
      </c>
      <c r="E15" s="6" t="s">
        <v>31</v>
      </c>
      <c r="F15" s="6" t="s">
        <v>115</v>
      </c>
      <c r="G15" s="6" t="s">
        <v>55</v>
      </c>
      <c r="H15" s="6" t="n">
        <v>0</v>
      </c>
      <c r="I15" s="6" t="s">
        <v>110</v>
      </c>
      <c r="J15" s="6"/>
    </row>
    <row r="16" customFormat="false" ht="69.75" hidden="false" customHeight="true" outlineLevel="0" collapsed="false">
      <c r="A16" s="6" t="s">
        <v>39</v>
      </c>
      <c r="B16" s="6" t="s">
        <v>40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44</v>
      </c>
      <c r="B17" s="6" t="s">
        <v>45</v>
      </c>
      <c r="C17" s="6" t="s">
        <v>116</v>
      </c>
      <c r="D17" s="6" t="s">
        <v>117</v>
      </c>
      <c r="E17" s="6" t="s">
        <v>48</v>
      </c>
      <c r="F17" s="6"/>
      <c r="G17" s="6"/>
      <c r="H17" s="6"/>
      <c r="I17" s="6" t="s">
        <v>110</v>
      </c>
      <c r="J17" s="6"/>
    </row>
    <row r="18" customFormat="false" ht="69.75" hidden="false" customHeight="true" outlineLevel="0" collapsed="false">
      <c r="A18" s="6" t="s">
        <v>49</v>
      </c>
      <c r="B18" s="6" t="s">
        <v>50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56</v>
      </c>
      <c r="B19" s="6" t="s">
        <v>57</v>
      </c>
      <c r="C19" s="6" t="s">
        <v>118</v>
      </c>
      <c r="D19" s="6" t="s">
        <v>119</v>
      </c>
      <c r="E19" s="6" t="s">
        <v>53</v>
      </c>
      <c r="F19" s="6"/>
      <c r="G19" s="6"/>
      <c r="H19" s="6"/>
      <c r="I19" s="6" t="s">
        <v>110</v>
      </c>
      <c r="J19" s="6"/>
    </row>
    <row r="20" customFormat="false" ht="69.75" hidden="false" customHeight="true" outlineLevel="0" collapsed="false">
      <c r="A20" s="6" t="s">
        <v>61</v>
      </c>
      <c r="B20" s="6" t="s">
        <v>62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65</v>
      </c>
      <c r="B21" s="6" t="s">
        <v>66</v>
      </c>
      <c r="C21" s="6" t="s">
        <v>120</v>
      </c>
      <c r="D21" s="6" t="s">
        <v>121</v>
      </c>
      <c r="E21" s="6" t="s">
        <v>69</v>
      </c>
      <c r="F21" s="6" t="s">
        <v>122</v>
      </c>
      <c r="G21" s="6" t="s">
        <v>38</v>
      </c>
      <c r="H21" s="6" t="n">
        <v>0.5</v>
      </c>
      <c r="I21" s="6" t="s">
        <v>110</v>
      </c>
      <c r="J21" s="6"/>
    </row>
    <row r="22" customFormat="false" ht="69.75" hidden="false" customHeight="true" outlineLevel="0" collapsed="false">
      <c r="A22" s="6" t="s">
        <v>71</v>
      </c>
      <c r="B22" s="6" t="s">
        <v>72</v>
      </c>
      <c r="C22" s="6"/>
      <c r="D22" s="6" t="s">
        <v>74</v>
      </c>
      <c r="E22" s="6" t="s">
        <v>43</v>
      </c>
      <c r="F22" s="6" t="s">
        <v>123</v>
      </c>
      <c r="G22" s="6" t="s">
        <v>38</v>
      </c>
      <c r="H22" s="6" t="n">
        <v>0.5</v>
      </c>
      <c r="I22" s="6" t="s">
        <v>110</v>
      </c>
      <c r="J22" s="6"/>
    </row>
    <row r="24" customFormat="false" ht="15" hidden="false" customHeight="false" outlineLevel="0" collapsed="false">
      <c r="A24" s="7" t="s">
        <v>77</v>
      </c>
      <c r="B24" s="8" t="s">
        <v>78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124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125</v>
      </c>
      <c r="D13" s="6" t="s">
        <v>126</v>
      </c>
      <c r="E13" s="6" t="s">
        <v>82</v>
      </c>
      <c r="F13" s="6"/>
      <c r="G13" s="6"/>
      <c r="H13" s="6"/>
      <c r="I13" s="6" t="s">
        <v>127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128</v>
      </c>
      <c r="E14" s="6" t="s">
        <v>129</v>
      </c>
      <c r="F14" s="6"/>
      <c r="G14" s="6"/>
      <c r="H14" s="6"/>
      <c r="I14" s="6" t="s">
        <v>127</v>
      </c>
      <c r="J14" s="6"/>
    </row>
    <row r="15" customFormat="false" ht="69.75" hidden="false" customHeight="true" outlineLevel="0" collapsed="false">
      <c r="A15" s="6" t="s">
        <v>32</v>
      </c>
      <c r="B15" s="6" t="s">
        <v>33</v>
      </c>
      <c r="C15" s="6" t="s">
        <v>130</v>
      </c>
      <c r="D15" s="6" t="s">
        <v>131</v>
      </c>
      <c r="E15" s="6" t="s">
        <v>132</v>
      </c>
      <c r="F15" s="6" t="s">
        <v>133</v>
      </c>
      <c r="G15" s="6" t="s">
        <v>55</v>
      </c>
      <c r="H15" s="6" t="n">
        <v>0</v>
      </c>
      <c r="I15" s="6" t="s">
        <v>127</v>
      </c>
      <c r="J15" s="6"/>
    </row>
    <row r="16" customFormat="false" ht="69.75" hidden="false" customHeight="true" outlineLevel="0" collapsed="false">
      <c r="A16" s="6" t="s">
        <v>39</v>
      </c>
      <c r="B16" s="6" t="s">
        <v>40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44</v>
      </c>
      <c r="B17" s="6" t="s">
        <v>45</v>
      </c>
      <c r="C17" s="6" t="s">
        <v>134</v>
      </c>
      <c r="D17" s="6" t="s">
        <v>135</v>
      </c>
      <c r="E17" s="6" t="s">
        <v>48</v>
      </c>
      <c r="F17" s="6"/>
      <c r="G17" s="6"/>
      <c r="H17" s="6"/>
      <c r="I17" s="6" t="s">
        <v>127</v>
      </c>
      <c r="J17" s="6"/>
    </row>
    <row r="18" customFormat="false" ht="69.75" hidden="false" customHeight="true" outlineLevel="0" collapsed="false">
      <c r="A18" s="6" t="s">
        <v>49</v>
      </c>
      <c r="B18" s="6" t="s">
        <v>50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56</v>
      </c>
      <c r="B19" s="6" t="s">
        <v>57</v>
      </c>
      <c r="C19" s="6" t="s">
        <v>136</v>
      </c>
      <c r="D19" s="6" t="s">
        <v>137</v>
      </c>
      <c r="E19" s="6" t="s">
        <v>138</v>
      </c>
      <c r="F19" s="6"/>
      <c r="G19" s="6"/>
      <c r="H19" s="6"/>
      <c r="I19" s="6" t="s">
        <v>127</v>
      </c>
      <c r="J19" s="6"/>
    </row>
    <row r="20" customFormat="false" ht="69.75" hidden="false" customHeight="true" outlineLevel="0" collapsed="false">
      <c r="A20" s="6" t="s">
        <v>61</v>
      </c>
      <c r="B20" s="6" t="s">
        <v>62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65</v>
      </c>
      <c r="B21" s="6" t="s">
        <v>66</v>
      </c>
      <c r="C21" s="6" t="s">
        <v>139</v>
      </c>
      <c r="D21" s="6" t="s">
        <v>140</v>
      </c>
      <c r="E21" s="6" t="s">
        <v>69</v>
      </c>
      <c r="F21" s="6" t="s">
        <v>141</v>
      </c>
      <c r="G21" s="6" t="s">
        <v>38</v>
      </c>
      <c r="H21" s="6" t="n">
        <v>0.5</v>
      </c>
      <c r="I21" s="6" t="s">
        <v>127</v>
      </c>
      <c r="J21" s="6"/>
    </row>
    <row r="22" customFormat="false" ht="69.75" hidden="false" customHeight="true" outlineLevel="0" collapsed="false">
      <c r="A22" s="6" t="s">
        <v>71</v>
      </c>
      <c r="B22" s="6" t="s">
        <v>72</v>
      </c>
      <c r="C22" s="6"/>
      <c r="D22" s="6" t="s">
        <v>142</v>
      </c>
      <c r="E22" s="6" t="s">
        <v>43</v>
      </c>
      <c r="F22" s="6" t="s">
        <v>123</v>
      </c>
      <c r="G22" s="6" t="s">
        <v>38</v>
      </c>
      <c r="H22" s="6" t="n">
        <v>0.5</v>
      </c>
      <c r="I22" s="6" t="s">
        <v>127</v>
      </c>
      <c r="J22" s="6"/>
    </row>
    <row r="24" customFormat="false" ht="15" hidden="false" customHeight="false" outlineLevel="0" collapsed="false">
      <c r="A24" s="7" t="s">
        <v>77</v>
      </c>
      <c r="B24" s="8" t="s">
        <v>78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6" min="3" style="0" width="32"/>
  </cols>
  <sheetData>
    <row r="2" customFormat="false" ht="16.15" hidden="false" customHeight="false" outlineLevel="0" collapsed="false">
      <c r="A2" s="2" t="s">
        <v>143</v>
      </c>
    </row>
    <row r="3" customFormat="false" ht="15" hidden="false" customHeight="false" outlineLevel="0" collapsed="false">
      <c r="A3" s="9" t="s">
        <v>144</v>
      </c>
      <c r="B3" s="9"/>
      <c r="C3" s="9"/>
      <c r="D3" s="9"/>
      <c r="E3" s="9"/>
      <c r="F3" s="9"/>
    </row>
    <row r="5" customFormat="false" ht="26.85" hidden="false" customHeight="false" outlineLevel="0" collapsed="false">
      <c r="A5" s="10" t="s">
        <v>11</v>
      </c>
      <c r="B5" s="10" t="s">
        <v>12</v>
      </c>
      <c r="C5" s="11" t="s">
        <v>145</v>
      </c>
      <c r="D5" s="11" t="s">
        <v>146</v>
      </c>
      <c r="E5" s="11" t="s">
        <v>147</v>
      </c>
      <c r="F5" s="11" t="s">
        <v>148</v>
      </c>
    </row>
    <row r="6" customFormat="false" ht="49.5" hidden="false" customHeight="true" outlineLevel="0" collapsed="false">
      <c r="A6" s="12" t="s">
        <v>21</v>
      </c>
      <c r="B6" s="12" t="s">
        <v>22</v>
      </c>
      <c r="C6" s="13" t="str">
        <f aca="false">MBF!D13</f>
        <v>- Planen, Organisieren, Führen, Kontrollieren</v>
      </c>
      <c r="D6" s="13" t="str">
        <f aca="false">FAC!D13</f>
        <v>- Aktiven, Passiven, Eigenkapital</v>
      </c>
      <c r="E6" s="13" t="str">
        <f aca="false">MEC!D13</f>
        <v>- Marktmechanismen</v>
      </c>
      <c r="F6" s="13" t="str">
        <f aca="false">BCM!D13</f>
        <v>- Zielgruppenorientierte Kommunikation</v>
      </c>
    </row>
    <row r="7" customFormat="false" ht="49.5" hidden="false" customHeight="true" outlineLevel="0" collapsed="false">
      <c r="A7" s="12" t="s">
        <v>27</v>
      </c>
      <c r="B7" s="12" t="s">
        <v>28</v>
      </c>
      <c r="C7" s="13" t="str">
        <f aca="false">MBF!D14</f>
        <v>- Funktionale vs. divisionale Organisation
- Matrixorganisation</v>
      </c>
      <c r="D7" s="13" t="str">
        <f aca="false">FAC!D14</f>
        <v>- Doppelte Buchführung
- Grundbuchungen</v>
      </c>
      <c r="E7" s="13" t="str">
        <f aca="false">MEC!D14</f>
        <v>- Fallbeispiel Preiselastizität</v>
      </c>
      <c r="F7" s="13" t="str">
        <f aca="false">BCM!D14</f>
        <v>- Kennenlern-Übung
- Erwartungsmanagement</v>
      </c>
    </row>
    <row r="8" customFormat="false" ht="49.5" hidden="false" customHeight="true" outlineLevel="0" collapsed="false">
      <c r="A8" s="12" t="s">
        <v>32</v>
      </c>
      <c r="B8" s="12" t="s">
        <v>33</v>
      </c>
      <c r="C8" s="13" t="str">
        <f aca="false">MBF!D15</f>
        <v>- Business Model Canvas
- Value Proposition Design</v>
      </c>
      <c r="D8" s="13" t="str">
        <f aca="false">FAC!D15</f>
        <v>- Aufwand, Ertrag, Gewinn</v>
      </c>
      <c r="E8" s="13" t="str">
        <f aca="false">MEC!D15</f>
        <v>- Monopol, Oligopol, vollständige Konkurrenz</v>
      </c>
      <c r="F8" s="13" t="str">
        <f aca="false">BCM!D15</f>
        <v>- Feedbackmodelle
- Aktives Zuhören</v>
      </c>
    </row>
    <row r="9" customFormat="false" ht="49.5" hidden="false" customHeight="true" outlineLevel="0" collapsed="false">
      <c r="A9" s="12" t="s">
        <v>39</v>
      </c>
      <c r="B9" s="12" t="s">
        <v>40</v>
      </c>
      <c r="C9" s="13" t="str">
        <f aca="false">MBF!D16</f>
        <v>- Präsentation der Canvas-Entwürfe
- Peer-Feedback</v>
      </c>
      <c r="D9" s="13" t="str">
        <f aca="false">FAC!D16</f>
        <v>- Besprechung Übungsfälle</v>
      </c>
      <c r="E9" s="13" t="n">
        <f aca="false">MEC!D16</f>
        <v>0</v>
      </c>
      <c r="F9" s="13" t="n">
        <f aca="false">BCM!D16</f>
        <v>0</v>
      </c>
    </row>
    <row r="10" customFormat="false" ht="49.5" hidden="false" customHeight="true" outlineLevel="0" collapsed="false">
      <c r="A10" s="12" t="s">
        <v>44</v>
      </c>
      <c r="B10" s="12" t="s">
        <v>45</v>
      </c>
      <c r="C10" s="13" t="str">
        <f aca="false">MBF!D17</f>
        <v>- Kulturmodelle nach Schein
- Artefakte, Werte, Grundannahmen</v>
      </c>
      <c r="D10" s="13" t="str">
        <f aca="false">FAC!D17</f>
        <v>- Liquiditätsgrade
- Rentabilitätskennzahlen</v>
      </c>
      <c r="E10" s="13" t="str">
        <f aca="false">MEC!D17</f>
        <v>- Preisdifferenzierung</v>
      </c>
      <c r="F10" s="13" t="str">
        <f aca="false">BCM!D17</f>
        <v>- Aufbau überzeugender Präsentationen</v>
      </c>
    </row>
    <row r="11" customFormat="false" ht="49.5" hidden="false" customHeight="true" outlineLevel="0" collapsed="false">
      <c r="A11" s="12" t="s">
        <v>49</v>
      </c>
      <c r="B11" s="12" t="s">
        <v>50</v>
      </c>
      <c r="C11" s="13" t="str">
        <f aca="false">MBF!D18</f>
        <v>- Stakeholder-Mapping</v>
      </c>
      <c r="D11" s="13" t="str">
        <f aca="false">FAC!D18</f>
        <v>- Kennzahlenanalyse eines Fallunternehmens</v>
      </c>
      <c r="E11" s="13" t="n">
        <f aca="false">MEC!D18</f>
        <v>0</v>
      </c>
      <c r="F11" s="13" t="n">
        <f aca="false">BCM!D18</f>
        <v>0</v>
      </c>
    </row>
    <row r="12" customFormat="false" ht="49.5" hidden="false" customHeight="true" outlineLevel="0" collapsed="false">
      <c r="A12" s="12" t="s">
        <v>56</v>
      </c>
      <c r="B12" s="12" t="s">
        <v>57</v>
      </c>
      <c r="C12" s="13" t="str">
        <f aca="false">MBF!D19</f>
        <v>- Entscheidungsfindung unter Unsicherheit</v>
      </c>
      <c r="D12" s="13" t="str">
        <f aca="false">FAC!D19</f>
        <v>- Fixkosten, variable Kosten, Deckungsbeitrag</v>
      </c>
      <c r="E12" s="13" t="str">
        <f aca="false">MEC!D19</f>
        <v>- Pricing-Übung</v>
      </c>
      <c r="F12" s="13" t="str">
        <f aca="false">BCM!D19</f>
        <v>- Präsentationsübung</v>
      </c>
    </row>
    <row r="13" customFormat="false" ht="49.5" hidden="false" customHeight="true" outlineLevel="0" collapsed="false">
      <c r="A13" s="12" t="s">
        <v>61</v>
      </c>
      <c r="B13" s="12" t="s">
        <v>62</v>
      </c>
      <c r="C13" s="13" t="str">
        <f aca="false">MBF!D20</f>
        <v>- Klassische vs. moderne Managementtheorien</v>
      </c>
      <c r="D13" s="13" t="str">
        <f aca="false">FAC!D20</f>
        <v>- Break-Even-Point
- Szenariorechnung</v>
      </c>
      <c r="E13" s="13" t="n">
        <f aca="false">MEC!D20</f>
        <v>0</v>
      </c>
      <c r="F13" s="13" t="n">
        <f aca="false">BCM!D20</f>
        <v>0</v>
      </c>
    </row>
    <row r="14" customFormat="false" ht="49.5" hidden="false" customHeight="true" outlineLevel="0" collapsed="false">
      <c r="A14" s="12" t="s">
        <v>65</v>
      </c>
      <c r="B14" s="12" t="s">
        <v>66</v>
      </c>
      <c r="C14" s="13" t="str">
        <f aca="false">MBF!D21</f>
        <v>- Finalisierung Organisationskonzept</v>
      </c>
      <c r="D14" s="13" t="str">
        <f aca="false">FAC!D21</f>
        <v>- Budgetierung Grundlagen</v>
      </c>
      <c r="E14" s="13" t="str">
        <f aca="false">MEC!D21</f>
        <v>- Finalisierung Preisstrategie-Papier</v>
      </c>
      <c r="F14" s="13" t="str">
        <f aca="false">BCM!D21</f>
        <v>- Finalisierung Präsentation</v>
      </c>
    </row>
    <row r="15" customFormat="false" ht="49.5" hidden="false" customHeight="true" outlineLevel="0" collapsed="false">
      <c r="A15" s="12" t="s">
        <v>71</v>
      </c>
      <c r="B15" s="12" t="s">
        <v>72</v>
      </c>
      <c r="C15" s="13" t="str">
        <f aca="false">MBF!D22</f>
        <v>- Abschlusspräsentationen</v>
      </c>
      <c r="D15" s="13" t="str">
        <f aca="false">FAC!D22</f>
        <v>- Abschlusspräsentationen</v>
      </c>
      <c r="E15" s="13" t="str">
        <f aca="false">MEC!D22</f>
        <v>- Abschlusspräsentationen</v>
      </c>
      <c r="F15" s="13" t="str">
        <f aca="false">BCM!D22</f>
        <v>- Abschlusspräsentationen mit Peer-Feedback</v>
      </c>
    </row>
    <row r="17" customFormat="false" ht="15" hidden="false" customHeight="false" outlineLevel="0" collapsed="false">
      <c r="A17" s="10" t="s">
        <v>149</v>
      </c>
      <c r="C17" s="10" t="n">
        <f aca="false">SUM(C18:F18)</f>
        <v>18</v>
      </c>
    </row>
    <row r="18" customFormat="false" ht="15" hidden="false" customHeight="false" outlineLevel="0" collapsed="false">
      <c r="C18" s="0" t="n">
        <v>6</v>
      </c>
      <c r="D18" s="0" t="n">
        <v>6</v>
      </c>
      <c r="E18" s="0" t="n">
        <v>3</v>
      </c>
      <c r="F18" s="0" t="n">
        <v>3</v>
      </c>
    </row>
  </sheetData>
  <mergeCells count="1"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0" t="s">
        <v>150</v>
      </c>
      <c r="C1" s="10" t="s">
        <v>151</v>
      </c>
    </row>
    <row r="2" customFormat="false" ht="15" hidden="false" customHeight="false" outlineLevel="0" collapsed="false">
      <c r="A2" s="0" t="n">
        <v>0</v>
      </c>
      <c r="C2" s="0" t="s">
        <v>38</v>
      </c>
    </row>
    <row r="3" customFormat="false" ht="15" hidden="false" customHeight="false" outlineLevel="0" collapsed="false">
      <c r="A3" s="0" t="n">
        <v>0.05</v>
      </c>
      <c r="C3" s="0" t="s">
        <v>55</v>
      </c>
    </row>
    <row r="4" customFormat="false" ht="15" hidden="false" customHeight="false" outlineLevel="0" collapsed="false">
      <c r="A4" s="0" t="n">
        <v>0.1</v>
      </c>
      <c r="C4" s="0" t="s">
        <v>152</v>
      </c>
    </row>
    <row r="5" customFormat="false" ht="15" hidden="false" customHeight="false" outlineLevel="0" collapsed="false">
      <c r="A5" s="0" t="n">
        <v>0.15</v>
      </c>
    </row>
    <row r="6" customFormat="false" ht="15" hidden="false" customHeight="false" outlineLevel="0" collapsed="false">
      <c r="A6" s="0" t="n">
        <v>0.2</v>
      </c>
    </row>
    <row r="7" customFormat="false" ht="15" hidden="false" customHeight="false" outlineLevel="0" collapsed="false">
      <c r="A7" s="0" t="n">
        <v>0.25</v>
      </c>
    </row>
    <row r="8" customFormat="false" ht="15" hidden="false" customHeight="false" outlineLevel="0" collapsed="false">
      <c r="A8" s="0" t="n">
        <v>0.3</v>
      </c>
    </row>
    <row r="9" customFormat="false" ht="15" hidden="false" customHeight="false" outlineLevel="0" collapsed="false">
      <c r="A9" s="0" t="n">
        <v>0.35</v>
      </c>
    </row>
    <row r="10" customFormat="false" ht="15" hidden="false" customHeight="false" outlineLevel="0" collapsed="false">
      <c r="A10" s="0" t="n">
        <v>0.4</v>
      </c>
    </row>
    <row r="11" customFormat="false" ht="15" hidden="false" customHeight="false" outlineLevel="0" collapsed="false">
      <c r="A11" s="0" t="n">
        <v>0.45</v>
      </c>
    </row>
    <row r="12" customFormat="false" ht="15" hidden="false" customHeight="false" outlineLevel="0" collapsed="false">
      <c r="A12" s="0" t="n">
        <v>0.5</v>
      </c>
    </row>
    <row r="13" customFormat="false" ht="15" hidden="false" customHeight="false" outlineLevel="0" collapsed="false">
      <c r="A13" s="0" t="n">
        <v>0.55</v>
      </c>
    </row>
    <row r="14" customFormat="false" ht="15" hidden="false" customHeight="false" outlineLevel="0" collapsed="false">
      <c r="A14" s="0" t="n">
        <v>0.6</v>
      </c>
    </row>
    <row r="15" customFormat="false" ht="15" hidden="false" customHeight="false" outlineLevel="0" collapsed="false">
      <c r="A15" s="0" t="n">
        <v>0.65</v>
      </c>
    </row>
    <row r="16" customFormat="false" ht="15" hidden="false" customHeight="false" outlineLevel="0" collapsed="false">
      <c r="A16" s="0" t="n">
        <v>0.7</v>
      </c>
    </row>
    <row r="17" customFormat="false" ht="15" hidden="false" customHeight="false" outlineLevel="0" collapsed="false">
      <c r="A17" s="0" t="n">
        <v>0.75</v>
      </c>
    </row>
    <row r="18" customFormat="false" ht="15" hidden="false" customHeight="false" outlineLevel="0" collapsed="false">
      <c r="A18" s="0" t="n">
        <v>0.8</v>
      </c>
    </row>
    <row r="19" customFormat="false" ht="15" hidden="false" customHeight="false" outlineLevel="0" collapsed="false">
      <c r="A19" s="0" t="n">
        <v>0.85</v>
      </c>
    </row>
    <row r="20" customFormat="false" ht="15" hidden="false" customHeight="false" outlineLevel="0" collapsed="false">
      <c r="A20" s="0" t="n">
        <v>0.9</v>
      </c>
    </row>
    <row r="21" customFormat="false" ht="15" hidden="false" customHeight="false" outlineLevel="0" collapsed="false">
      <c r="A21" s="0" t="n">
        <v>0.95</v>
      </c>
    </row>
    <row r="22" customFormat="false" ht="15" hidden="false" customHeight="false" outlineLevel="0" collapsed="false">
      <c r="A2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2026-09-15T18:54:24Z</dcterms:created>
  <dc:creator>openpyxl</dc:creator>
  <dc:description/>
  <dc:language>en-US</dc:language>
  <cp:lastModifiedBy/>
  <dcterms:modified xsi:type="dcterms:W3CDTF">2026-09-15T18:54:24Z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